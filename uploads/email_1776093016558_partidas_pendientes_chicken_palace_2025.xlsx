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elisa\Downloads\"/>
    </mc:Choice>
  </mc:AlternateContent>
  <xr:revisionPtr revIDLastSave="0" documentId="8_{43E34756-2ADB-4EA6-8771-F43B06932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ntas corrientes" sheetId="2" r:id="rId1"/>
  </sheets>
  <definedNames>
    <definedName name="_xlnm.Print_Area" localSheetId="0">'Cuentas corrientes'!$A$1:$J$162</definedName>
    <definedName name="_xlnm.Print_Titles" localSheetId="0">'Cuentas corrientes'!$1:$8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H162" i="2"/>
  <c r="G162" i="2"/>
  <c r="I162" i="2" s="1"/>
</calcChain>
</file>

<file path=xl/sharedStrings.xml><?xml version="1.0" encoding="utf-8"?>
<sst xmlns="http://schemas.openxmlformats.org/spreadsheetml/2006/main" count="320" uniqueCount="78">
  <si>
    <t>Cuenta</t>
  </si>
  <si>
    <t>Descripción</t>
  </si>
  <si>
    <t>Punt.</t>
  </si>
  <si>
    <t>Fecha</t>
  </si>
  <si>
    <t>Concepto</t>
  </si>
  <si>
    <t>Documento</t>
  </si>
  <si>
    <t>Debe</t>
  </si>
  <si>
    <t>Haber</t>
  </si>
  <si>
    <t>Saldo</t>
  </si>
  <si>
    <t>Contrapartida</t>
  </si>
  <si>
    <t>PPP CAIXA 2340</t>
  </si>
  <si>
    <t>LU96ZZZ0000000000000000058 P</t>
  </si>
  <si>
    <t/>
  </si>
  <si>
    <t>A48265169028 0182-8633-08-08</t>
  </si>
  <si>
    <t>S/P TEMU</t>
  </si>
  <si>
    <t>N/P AMAZON</t>
  </si>
  <si>
    <t>N/P HOTEL BOOKING</t>
  </si>
  <si>
    <t>N/P HISPANIA REAL MOTOR SL</t>
  </si>
  <si>
    <t>00810622-POLICLINICA NUESTRA</t>
  </si>
  <si>
    <t>N/P HR MOTOR VW 1246 MBX</t>
  </si>
  <si>
    <t>N/P TAXIS BOOKING</t>
  </si>
  <si>
    <t>N/P TESLA</t>
  </si>
  <si>
    <t>N/P HOTEL ARAXA</t>
  </si>
  <si>
    <t>N/P AFERRY</t>
  </si>
  <si>
    <t>G03015914000 MUTUALIDAD DE L</t>
  </si>
  <si>
    <t>CUOTA NUMERO: 2 (impuesto)</t>
  </si>
  <si>
    <t>G03015914000 MUTUA DE LEVANT</t>
  </si>
  <si>
    <t>N/P WAYLET</t>
  </si>
  <si>
    <t>N/P TESLA SPAIN SL</t>
  </si>
  <si>
    <t>N/P HOSPITAL GRAL</t>
  </si>
  <si>
    <t>N/P IBERDROLA SMART</t>
  </si>
  <si>
    <t>N/P FRUUGO.COM</t>
  </si>
  <si>
    <t>A41003864222 HELVETIA COMPAN</t>
  </si>
  <si>
    <t>S/P TESLA</t>
  </si>
  <si>
    <t>TRASPASO</t>
  </si>
  <si>
    <t>N/P MONTE CANAL</t>
  </si>
  <si>
    <t>A78881190102 ES EDENRED SPAI</t>
  </si>
  <si>
    <t>N/P GLOVO</t>
  </si>
  <si>
    <t>N/P FLEUROP INTERFLOR</t>
  </si>
  <si>
    <t>N/P TEMU</t>
  </si>
  <si>
    <t>N/P PUIG DEN VALLS</t>
  </si>
  <si>
    <t>CAMBIO</t>
  </si>
  <si>
    <t>N/P RESTO FAC EMPANADAS GEOR</t>
  </si>
  <si>
    <t>00495935-PYM INSTALACIONES 2</t>
  </si>
  <si>
    <t>01826838-AQUABUS NEWCO S.L.</t>
  </si>
  <si>
    <t>S/P APPLE</t>
  </si>
  <si>
    <t>N/P TESLA SPAIN</t>
  </si>
  <si>
    <t>NP TEICOM TORRENT</t>
  </si>
  <si>
    <t>NP ALDI RAMBLA</t>
  </si>
  <si>
    <t>AQUABUS NEWCO S.L. TRANSFER</t>
  </si>
  <si>
    <t>N/P BOOKING</t>
  </si>
  <si>
    <t>N/P GAS IBIZA</t>
  </si>
  <si>
    <t>N/P APPLE</t>
  </si>
  <si>
    <t>PAYPAL EUROPE S.A, LU96ZZZ00</t>
  </si>
  <si>
    <t>CHICKEN PALACE IB, Fecha de</t>
  </si>
  <si>
    <t>Tesla Spain, S.L., Fecha de</t>
  </si>
  <si>
    <t>ES EDENRED SPAIN, A788811901</t>
  </si>
  <si>
    <t>0182-8633-08-0830, A48265169</t>
  </si>
  <si>
    <t>BASE44.COM, Fecha de operaci</t>
  </si>
  <si>
    <t>RENDER.COM, Fecha de operaci</t>
  </si>
  <si>
    <t>PAYPAL EUROPE S., LU96ZZZ000</t>
  </si>
  <si>
    <t>BASE44, Fecha de operaci**n:</t>
  </si>
  <si>
    <t>RINCON LATINO 2, Fecha de op</t>
  </si>
  <si>
    <t>ATRACCIONES ROCA, Fecha de o</t>
  </si>
  <si>
    <t>GRUPONEVADA, Fecha de operac</t>
  </si>
  <si>
    <t>AMAZON* ZP1ER4CC4, Fecha de</t>
  </si>
  <si>
    <t>ERIK MENDEZ SANMA, Fecha de</t>
  </si>
  <si>
    <t>AMAZON* ZE36T0XB4, Fecha de</t>
  </si>
  <si>
    <t>AMAZON* ZE5AR5W74, Fecha de</t>
  </si>
  <si>
    <t>ALCAMPO ALDAIA, Fecha de ope</t>
  </si>
  <si>
    <t>LEFTIES, Fecha de operaci**n</t>
  </si>
  <si>
    <t>WWW.AMAZON.* ZD0U, Fecha de</t>
  </si>
  <si>
    <t>PRIMARK BONAIRE, Fecha de op</t>
  </si>
  <si>
    <t>Total cuenta</t>
  </si>
  <si>
    <t>Cuentas corrientes.</t>
  </si>
  <si>
    <t>Empresa: CHICKEN PALACE IBIZA, S.L.</t>
  </si>
  <si>
    <t>Período: de 01/01/2025 a 31/12/2025</t>
  </si>
  <si>
    <t>Fecha: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</si>
</sst>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"/>
    <numFmt numFmtId="165" formatCode="#,##0.00;[Red]\-#,##0.00;0"/>
    <numFmt numFmtId="166" formatCode="dd/mm/yyyy;dd/mm/yyyy;"/>
  </numFmts>
  <fonts count="4" x14ac:knownFonts="1">
    <font>
      <sz val="11"/>
      <color theme="1"/>
      <name val="Calibri"/>
      <family val="2"/>
    </font>
    <font>
      <b/>
      <i/>
      <sz val="18"/>
      <color theme="1"/>
      <name val="Arial"/>
      <family val="2"/>
    </font>
    <font>
      <b/>
      <sz val="11"/>
      <color theme="1"/>
      <name val="Calibri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0" xfId="0" quotePrefix="1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C8F9-707B-412F-BC4C-7814F097D9C7}">
  <sheetPr>
    <pageSetUpPr fitToPage="1"/>
  </sheetPr>
  <dimension ref="A1:J162"/>
  <sheetViews>
    <sheetView tabSelected="1" workbookViewId="0">
      <pane xSplit="2" topLeftCell="C1" activePane="topRight" state="frozen"/>
      <selection pane="topRight" activeCell="C1" sqref="C1"/>
    </sheetView>
  </sheetViews>
  <sheetFormatPr baseColWidth="10" defaultColWidth="8.88671875" defaultRowHeight="14.4" x14ac:dyDescent="0.3"/>
  <cols>
    <col min="1" max="1" width="9.33203125" customWidth="1"/>
    <col min="2" max="2" width="15" customWidth="1"/>
    <col min="3" max="3" width="5.6640625" customWidth="1"/>
    <col min="4" max="4" width="11" customWidth="1"/>
    <col min="5" max="5" width="31.6640625" customWidth="1"/>
    <col min="6" max="6" width="10.6640625" customWidth="1"/>
    <col min="7" max="7" width="9.44140625" customWidth="1"/>
    <col min="8" max="8" width="8.44140625" customWidth="1"/>
    <col min="9" max="9" width="6" customWidth="1"/>
    <col min="10" max="10" width="12.33203125" customWidth="1"/>
  </cols>
  <sheetData>
    <row r="1" spans="1:10" ht="22.8" x14ac:dyDescent="0.4">
      <c r="A1" s="13" t="s">
        <v>74</v>
      </c>
    </row>
    <row r="3" spans="1:10" x14ac:dyDescent="0.3">
      <c r="A3" s="4" t="s">
        <v>75</v>
      </c>
    </row>
    <row r="4" spans="1:10" x14ac:dyDescent="0.3">
      <c r="A4" s="4" t="s">
        <v>76</v>
      </c>
    </row>
    <row r="5" spans="1:10" x14ac:dyDescent="0.3">
      <c r="A5" s="4" t="s">
        <v>77</v>
      </c>
    </row>
    <row r="7" spans="1:10" ht="15.6" thickTop="1" thickBot="1" x14ac:dyDescent="0.3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  <c r="H7" s="3" t="s">
        <v>7</v>
      </c>
      <c r="I7" s="3" t="s">
        <v>8</v>
      </c>
      <c r="J7" s="2" t="s">
        <v>9</v>
      </c>
    </row>
    <row r="9" spans="1:10" x14ac:dyDescent="0.3">
      <c r="A9" s="5">
        <v>57290001</v>
      </c>
      <c r="B9" s="6" t="s">
        <v>10</v>
      </c>
      <c r="C9" s="7"/>
      <c r="D9" s="7"/>
      <c r="E9" s="7"/>
      <c r="F9" s="7"/>
      <c r="G9" s="7"/>
      <c r="H9" s="7"/>
      <c r="I9" s="7"/>
      <c r="J9" s="7"/>
    </row>
    <row r="10" spans="1:10" x14ac:dyDescent="0.3">
      <c r="C10" s="8"/>
      <c r="D10" s="9">
        <v>45658</v>
      </c>
      <c r="E10" t="s">
        <v>11</v>
      </c>
      <c r="F10" s="10" t="s">
        <v>12</v>
      </c>
      <c r="G10" s="11">
        <v>19.989999999999998</v>
      </c>
      <c r="H10" s="11">
        <v>0</v>
      </c>
      <c r="I10" s="11">
        <f>G10-H10</f>
        <v>19.989999999999998</v>
      </c>
      <c r="J10" s="12">
        <v>57200001</v>
      </c>
    </row>
    <row r="11" spans="1:10" x14ac:dyDescent="0.3">
      <c r="C11" s="8"/>
      <c r="D11" s="9">
        <v>45664</v>
      </c>
      <c r="E11" t="s">
        <v>11</v>
      </c>
      <c r="F11" s="10" t="s">
        <v>12</v>
      </c>
      <c r="G11" s="11">
        <v>9.99</v>
      </c>
      <c r="H11" s="11">
        <v>0</v>
      </c>
      <c r="I11" s="11">
        <f t="shared" ref="I11:I42" si="0">G11-H11+I10</f>
        <v>29.979999999999997</v>
      </c>
      <c r="J11" s="12">
        <v>57200001</v>
      </c>
    </row>
    <row r="12" spans="1:10" x14ac:dyDescent="0.3">
      <c r="C12" s="8"/>
      <c r="D12" s="9">
        <v>45665</v>
      </c>
      <c r="E12" t="s">
        <v>13</v>
      </c>
      <c r="F12" s="10" t="s">
        <v>12</v>
      </c>
      <c r="G12" s="11">
        <v>372.39</v>
      </c>
      <c r="H12" s="11">
        <v>0</v>
      </c>
      <c r="I12" s="11">
        <f t="shared" si="0"/>
        <v>402.37</v>
      </c>
      <c r="J12" s="12">
        <v>57200001</v>
      </c>
    </row>
    <row r="13" spans="1:10" x14ac:dyDescent="0.3">
      <c r="C13" s="8"/>
      <c r="D13" s="9">
        <v>45672</v>
      </c>
      <c r="E13" t="s">
        <v>11</v>
      </c>
      <c r="F13" s="10" t="s">
        <v>12</v>
      </c>
      <c r="G13" s="11">
        <v>16.989999999999998</v>
      </c>
      <c r="H13" s="11">
        <v>0</v>
      </c>
      <c r="I13" s="11">
        <f t="shared" si="0"/>
        <v>419.36</v>
      </c>
      <c r="J13" s="12">
        <v>57200001</v>
      </c>
    </row>
    <row r="14" spans="1:10" x14ac:dyDescent="0.3">
      <c r="C14" s="8"/>
      <c r="D14" s="9">
        <v>45678</v>
      </c>
      <c r="E14" t="s">
        <v>11</v>
      </c>
      <c r="F14" s="10" t="s">
        <v>12</v>
      </c>
      <c r="G14" s="11">
        <v>17.989999999999998</v>
      </c>
      <c r="H14" s="11">
        <v>0</v>
      </c>
      <c r="I14" s="11">
        <f t="shared" si="0"/>
        <v>437.35</v>
      </c>
      <c r="J14" s="12">
        <v>57200001</v>
      </c>
    </row>
    <row r="15" spans="1:10" x14ac:dyDescent="0.3">
      <c r="C15" s="8"/>
      <c r="D15" s="9">
        <v>45678</v>
      </c>
      <c r="E15" t="s">
        <v>11</v>
      </c>
      <c r="F15" s="10" t="s">
        <v>12</v>
      </c>
      <c r="G15" s="11">
        <v>34.950000000000003</v>
      </c>
      <c r="H15" s="11">
        <v>0</v>
      </c>
      <c r="I15" s="11">
        <f t="shared" si="0"/>
        <v>472.3</v>
      </c>
      <c r="J15" s="12">
        <v>57200001</v>
      </c>
    </row>
    <row r="16" spans="1:10" x14ac:dyDescent="0.3">
      <c r="C16" s="8"/>
      <c r="D16" s="9">
        <v>45684</v>
      </c>
      <c r="E16" t="s">
        <v>14</v>
      </c>
      <c r="F16" s="10" t="s">
        <v>12</v>
      </c>
      <c r="G16" s="11">
        <v>0</v>
      </c>
      <c r="H16" s="11">
        <v>120.99</v>
      </c>
      <c r="I16" s="11">
        <f t="shared" si="0"/>
        <v>351.31</v>
      </c>
      <c r="J16" s="12">
        <v>57200001</v>
      </c>
    </row>
    <row r="17" spans="3:10" x14ac:dyDescent="0.3">
      <c r="C17" s="8"/>
      <c r="D17" s="9">
        <v>45684</v>
      </c>
      <c r="E17" t="s">
        <v>15</v>
      </c>
      <c r="F17" s="10" t="s">
        <v>12</v>
      </c>
      <c r="G17" s="11">
        <v>35.159999999999997</v>
      </c>
      <c r="H17" s="11">
        <v>0</v>
      </c>
      <c r="I17" s="11">
        <f t="shared" si="0"/>
        <v>386.47</v>
      </c>
      <c r="J17" s="12">
        <v>57200001</v>
      </c>
    </row>
    <row r="18" spans="3:10" x14ac:dyDescent="0.3">
      <c r="C18" s="8"/>
      <c r="D18" s="9">
        <v>45684</v>
      </c>
      <c r="E18" t="s">
        <v>16</v>
      </c>
      <c r="F18" s="10" t="s">
        <v>12</v>
      </c>
      <c r="G18" s="11">
        <v>1143.9100000000001</v>
      </c>
      <c r="H18" s="11">
        <v>0</v>
      </c>
      <c r="I18" s="11">
        <f t="shared" si="0"/>
        <v>1530.38</v>
      </c>
      <c r="J18" s="12">
        <v>57200001</v>
      </c>
    </row>
    <row r="19" spans="3:10" x14ac:dyDescent="0.3">
      <c r="C19" s="8"/>
      <c r="D19" s="9">
        <v>45687</v>
      </c>
      <c r="E19" t="s">
        <v>17</v>
      </c>
      <c r="F19" s="10" t="s">
        <v>12</v>
      </c>
      <c r="G19" s="11">
        <v>390</v>
      </c>
      <c r="H19" s="11">
        <v>0</v>
      </c>
      <c r="I19" s="11">
        <f t="shared" si="0"/>
        <v>1920.38</v>
      </c>
      <c r="J19" s="12">
        <v>57200001</v>
      </c>
    </row>
    <row r="20" spans="3:10" x14ac:dyDescent="0.3">
      <c r="C20" s="8"/>
      <c r="D20" s="9">
        <v>45689</v>
      </c>
      <c r="E20" t="s">
        <v>11</v>
      </c>
      <c r="F20" s="10" t="s">
        <v>12</v>
      </c>
      <c r="G20" s="11">
        <v>19.989999999999998</v>
      </c>
      <c r="H20" s="11">
        <v>0</v>
      </c>
      <c r="I20" s="11">
        <f t="shared" si="0"/>
        <v>1940.3700000000001</v>
      </c>
      <c r="J20" s="12">
        <v>57200001</v>
      </c>
    </row>
    <row r="21" spans="3:10" x14ac:dyDescent="0.3">
      <c r="C21" s="8"/>
      <c r="D21" s="9">
        <v>45694</v>
      </c>
      <c r="E21" t="s">
        <v>11</v>
      </c>
      <c r="F21" s="10" t="s">
        <v>12</v>
      </c>
      <c r="G21" s="11">
        <v>261.32</v>
      </c>
      <c r="H21" s="11">
        <v>0</v>
      </c>
      <c r="I21" s="11">
        <f t="shared" si="0"/>
        <v>2201.69</v>
      </c>
      <c r="J21" s="12">
        <v>57200001</v>
      </c>
    </row>
    <row r="22" spans="3:10" x14ac:dyDescent="0.3">
      <c r="C22" s="8"/>
      <c r="D22" s="9">
        <v>45694</v>
      </c>
      <c r="E22" t="s">
        <v>13</v>
      </c>
      <c r="F22" s="10" t="s">
        <v>12</v>
      </c>
      <c r="G22" s="11">
        <v>372.39</v>
      </c>
      <c r="H22" s="11">
        <v>0</v>
      </c>
      <c r="I22" s="11">
        <f t="shared" si="0"/>
        <v>2574.08</v>
      </c>
      <c r="J22" s="12">
        <v>57200001</v>
      </c>
    </row>
    <row r="23" spans="3:10" x14ac:dyDescent="0.3">
      <c r="C23" s="8"/>
      <c r="D23" s="9">
        <v>45695</v>
      </c>
      <c r="E23" t="s">
        <v>11</v>
      </c>
      <c r="F23" s="10" t="s">
        <v>12</v>
      </c>
      <c r="G23" s="11">
        <v>9.99</v>
      </c>
      <c r="H23" s="11">
        <v>0</v>
      </c>
      <c r="I23" s="11">
        <f t="shared" si="0"/>
        <v>2584.0699999999997</v>
      </c>
      <c r="J23" s="12">
        <v>57200001</v>
      </c>
    </row>
    <row r="24" spans="3:10" x14ac:dyDescent="0.3">
      <c r="C24" s="8"/>
      <c r="D24" s="9">
        <v>45696</v>
      </c>
      <c r="E24" t="s">
        <v>18</v>
      </c>
      <c r="F24" s="10" t="s">
        <v>12</v>
      </c>
      <c r="G24" s="11">
        <v>0</v>
      </c>
      <c r="H24" s="11">
        <v>879.59</v>
      </c>
      <c r="I24" s="11">
        <f t="shared" si="0"/>
        <v>1704.4799999999996</v>
      </c>
      <c r="J24" s="12">
        <v>57200001</v>
      </c>
    </row>
    <row r="25" spans="3:10" x14ac:dyDescent="0.3">
      <c r="C25" s="8"/>
      <c r="D25" s="9">
        <v>45701</v>
      </c>
      <c r="E25" t="s">
        <v>19</v>
      </c>
      <c r="F25" s="10" t="s">
        <v>12</v>
      </c>
      <c r="G25" s="11">
        <v>46890</v>
      </c>
      <c r="H25" s="11">
        <v>0</v>
      </c>
      <c r="I25" s="11">
        <f t="shared" si="0"/>
        <v>48594.479999999996</v>
      </c>
      <c r="J25" s="12">
        <v>57200001</v>
      </c>
    </row>
    <row r="26" spans="3:10" x14ac:dyDescent="0.3">
      <c r="C26" s="8"/>
      <c r="D26" s="9">
        <v>45705</v>
      </c>
      <c r="E26" t="s">
        <v>20</v>
      </c>
      <c r="F26" s="10" t="s">
        <v>12</v>
      </c>
      <c r="G26" s="11">
        <v>36.53</v>
      </c>
      <c r="H26" s="11">
        <v>0</v>
      </c>
      <c r="I26" s="11">
        <f t="shared" si="0"/>
        <v>48631.009999999995</v>
      </c>
      <c r="J26" s="12">
        <v>57200001</v>
      </c>
    </row>
    <row r="27" spans="3:10" x14ac:dyDescent="0.3">
      <c r="C27" s="8"/>
      <c r="D27" s="9">
        <v>45705</v>
      </c>
      <c r="E27" t="s">
        <v>21</v>
      </c>
      <c r="F27" s="10" t="s">
        <v>12</v>
      </c>
      <c r="G27" s="11">
        <v>250</v>
      </c>
      <c r="H27" s="11">
        <v>0</v>
      </c>
      <c r="I27" s="11">
        <f t="shared" si="0"/>
        <v>48881.009999999995</v>
      </c>
      <c r="J27" s="12">
        <v>57200001</v>
      </c>
    </row>
    <row r="28" spans="3:10" x14ac:dyDescent="0.3">
      <c r="C28" s="8"/>
      <c r="D28" s="9">
        <v>45705</v>
      </c>
      <c r="E28" t="s">
        <v>22</v>
      </c>
      <c r="F28" s="10" t="s">
        <v>12</v>
      </c>
      <c r="G28" s="11">
        <v>65.55</v>
      </c>
      <c r="H28" s="11">
        <v>0</v>
      </c>
      <c r="I28" s="11">
        <f t="shared" si="0"/>
        <v>48946.559999999998</v>
      </c>
      <c r="J28" s="12">
        <v>57200001</v>
      </c>
    </row>
    <row r="29" spans="3:10" x14ac:dyDescent="0.3">
      <c r="C29" s="8"/>
      <c r="D29" s="9">
        <v>45705</v>
      </c>
      <c r="E29" t="s">
        <v>23</v>
      </c>
      <c r="F29" s="10" t="s">
        <v>12</v>
      </c>
      <c r="G29" s="11">
        <v>104.98</v>
      </c>
      <c r="H29" s="11">
        <v>0</v>
      </c>
      <c r="I29" s="11">
        <f t="shared" si="0"/>
        <v>49051.54</v>
      </c>
      <c r="J29" s="12">
        <v>57200001</v>
      </c>
    </row>
    <row r="30" spans="3:10" x14ac:dyDescent="0.3">
      <c r="C30" s="8"/>
      <c r="D30" s="9">
        <v>45706</v>
      </c>
      <c r="E30" t="s">
        <v>24</v>
      </c>
      <c r="F30" s="10" t="s">
        <v>12</v>
      </c>
      <c r="G30" s="11">
        <v>643.4</v>
      </c>
      <c r="H30" s="11">
        <v>0</v>
      </c>
      <c r="I30" s="11">
        <f t="shared" si="0"/>
        <v>49694.94</v>
      </c>
      <c r="J30" s="12">
        <v>57200001</v>
      </c>
    </row>
    <row r="31" spans="3:10" x14ac:dyDescent="0.3">
      <c r="C31" s="8"/>
      <c r="D31" s="9">
        <v>45707</v>
      </c>
      <c r="E31" t="s">
        <v>11</v>
      </c>
      <c r="F31" s="10" t="s">
        <v>12</v>
      </c>
      <c r="G31" s="11">
        <v>17.989999999999998</v>
      </c>
      <c r="H31" s="11">
        <v>0</v>
      </c>
      <c r="I31" s="11">
        <f t="shared" si="0"/>
        <v>49712.93</v>
      </c>
      <c r="J31" s="12">
        <v>57200001</v>
      </c>
    </row>
    <row r="32" spans="3:10" x14ac:dyDescent="0.3">
      <c r="C32" s="8"/>
      <c r="D32" s="9">
        <v>45709</v>
      </c>
      <c r="E32" t="s">
        <v>11</v>
      </c>
      <c r="F32" s="10" t="s">
        <v>12</v>
      </c>
      <c r="G32" s="11">
        <v>34.950000000000003</v>
      </c>
      <c r="H32" s="11">
        <v>0</v>
      </c>
      <c r="I32" s="11">
        <f t="shared" si="0"/>
        <v>49747.88</v>
      </c>
      <c r="J32" s="12">
        <v>57200001</v>
      </c>
    </row>
    <row r="33" spans="3:10" x14ac:dyDescent="0.3">
      <c r="C33" s="8"/>
      <c r="D33" s="9">
        <v>45717</v>
      </c>
      <c r="E33" t="s">
        <v>25</v>
      </c>
      <c r="F33" s="10" t="s">
        <v>12</v>
      </c>
      <c r="G33" s="11">
        <v>124.9</v>
      </c>
      <c r="H33" s="11">
        <v>0</v>
      </c>
      <c r="I33" s="11">
        <f t="shared" si="0"/>
        <v>49872.78</v>
      </c>
      <c r="J33" s="12"/>
    </row>
    <row r="34" spans="3:10" x14ac:dyDescent="0.3">
      <c r="C34" s="8"/>
      <c r="D34" s="9">
        <v>45719</v>
      </c>
      <c r="E34" t="s">
        <v>26</v>
      </c>
      <c r="F34" s="10" t="s">
        <v>12</v>
      </c>
      <c r="G34" s="11">
        <v>690.14</v>
      </c>
      <c r="H34" s="11">
        <v>0</v>
      </c>
      <c r="I34" s="11">
        <f t="shared" si="0"/>
        <v>50562.92</v>
      </c>
      <c r="J34" s="12">
        <v>57200001</v>
      </c>
    </row>
    <row r="35" spans="3:10" x14ac:dyDescent="0.3">
      <c r="C35" s="8"/>
      <c r="D35" s="9">
        <v>45719</v>
      </c>
      <c r="E35" t="s">
        <v>11</v>
      </c>
      <c r="F35" s="10" t="s">
        <v>12</v>
      </c>
      <c r="G35" s="11">
        <v>19.989999999999998</v>
      </c>
      <c r="H35" s="11">
        <v>0</v>
      </c>
      <c r="I35" s="11">
        <f t="shared" si="0"/>
        <v>50582.909999999996</v>
      </c>
      <c r="J35" s="12">
        <v>57200001</v>
      </c>
    </row>
    <row r="36" spans="3:10" x14ac:dyDescent="0.3">
      <c r="C36" s="8"/>
      <c r="D36" s="9">
        <v>45719</v>
      </c>
      <c r="E36" t="s">
        <v>27</v>
      </c>
      <c r="F36" s="10" t="s">
        <v>12</v>
      </c>
      <c r="G36" s="11">
        <v>0.61</v>
      </c>
      <c r="H36" s="11">
        <v>0</v>
      </c>
      <c r="I36" s="11">
        <f t="shared" si="0"/>
        <v>50583.519999999997</v>
      </c>
      <c r="J36" s="12">
        <v>57200001</v>
      </c>
    </row>
    <row r="37" spans="3:10" x14ac:dyDescent="0.3">
      <c r="C37" s="8"/>
      <c r="D37" s="9">
        <v>45719</v>
      </c>
      <c r="E37" t="s">
        <v>28</v>
      </c>
      <c r="F37" s="10" t="s">
        <v>12</v>
      </c>
      <c r="G37" s="11">
        <v>14.71</v>
      </c>
      <c r="H37" s="11">
        <v>0</v>
      </c>
      <c r="I37" s="11">
        <f t="shared" si="0"/>
        <v>50598.229999999996</v>
      </c>
      <c r="J37" s="12">
        <v>57200001</v>
      </c>
    </row>
    <row r="38" spans="3:10" x14ac:dyDescent="0.3">
      <c r="C38" s="8"/>
      <c r="D38" s="9">
        <v>45719</v>
      </c>
      <c r="E38" t="s">
        <v>15</v>
      </c>
      <c r="F38" s="10" t="s">
        <v>12</v>
      </c>
      <c r="G38" s="11">
        <v>16.27</v>
      </c>
      <c r="H38" s="11">
        <v>0</v>
      </c>
      <c r="I38" s="11">
        <f t="shared" si="0"/>
        <v>50614.499999999993</v>
      </c>
      <c r="J38" s="12">
        <v>57200001</v>
      </c>
    </row>
    <row r="39" spans="3:10" x14ac:dyDescent="0.3">
      <c r="C39" s="8"/>
      <c r="D39" s="9">
        <v>45719</v>
      </c>
      <c r="E39" t="s">
        <v>15</v>
      </c>
      <c r="F39" s="10" t="s">
        <v>12</v>
      </c>
      <c r="G39" s="11">
        <v>43.89</v>
      </c>
      <c r="H39" s="11">
        <v>0</v>
      </c>
      <c r="I39" s="11">
        <f t="shared" si="0"/>
        <v>50658.389999999992</v>
      </c>
      <c r="J39" s="12">
        <v>57200001</v>
      </c>
    </row>
    <row r="40" spans="3:10" x14ac:dyDescent="0.3">
      <c r="C40" s="8"/>
      <c r="D40" s="9">
        <v>45719</v>
      </c>
      <c r="E40" t="s">
        <v>29</v>
      </c>
      <c r="F40" s="10" t="s">
        <v>12</v>
      </c>
      <c r="G40" s="11">
        <v>1.25</v>
      </c>
      <c r="H40" s="11">
        <v>0</v>
      </c>
      <c r="I40" s="11">
        <f t="shared" si="0"/>
        <v>50659.639999999992</v>
      </c>
      <c r="J40" s="12">
        <v>57200001</v>
      </c>
    </row>
    <row r="41" spans="3:10" x14ac:dyDescent="0.3">
      <c r="C41" s="8"/>
      <c r="D41" s="9">
        <v>45722</v>
      </c>
      <c r="E41" t="s">
        <v>13</v>
      </c>
      <c r="F41" s="10" t="s">
        <v>12</v>
      </c>
      <c r="G41" s="11">
        <v>372.39</v>
      </c>
      <c r="H41" s="11">
        <v>0</v>
      </c>
      <c r="I41" s="11">
        <f t="shared" si="0"/>
        <v>51032.029999999992</v>
      </c>
      <c r="J41" s="12">
        <v>57200001</v>
      </c>
    </row>
    <row r="42" spans="3:10" x14ac:dyDescent="0.3">
      <c r="C42" s="8"/>
      <c r="D42" s="9">
        <v>45723</v>
      </c>
      <c r="E42" t="s">
        <v>11</v>
      </c>
      <c r="F42" s="10" t="s">
        <v>12</v>
      </c>
      <c r="G42" s="11">
        <v>13</v>
      </c>
      <c r="H42" s="11">
        <v>0</v>
      </c>
      <c r="I42" s="11">
        <f t="shared" si="0"/>
        <v>51045.029999999992</v>
      </c>
      <c r="J42" s="12">
        <v>57200001</v>
      </c>
    </row>
    <row r="43" spans="3:10" x14ac:dyDescent="0.3">
      <c r="C43" s="8"/>
      <c r="D43" s="9">
        <v>45726</v>
      </c>
      <c r="E43" t="s">
        <v>27</v>
      </c>
      <c r="F43" s="10" t="s">
        <v>12</v>
      </c>
      <c r="G43" s="11">
        <v>0.64</v>
      </c>
      <c r="H43" s="11">
        <v>0</v>
      </c>
      <c r="I43" s="11">
        <f t="shared" ref="I43:I74" si="1">G43-H43+I42</f>
        <v>51045.669999999991</v>
      </c>
      <c r="J43" s="12">
        <v>57200001</v>
      </c>
    </row>
    <row r="44" spans="3:10" x14ac:dyDescent="0.3">
      <c r="C44" s="8"/>
      <c r="D44" s="9">
        <v>45726</v>
      </c>
      <c r="E44" t="s">
        <v>30</v>
      </c>
      <c r="F44" s="10" t="s">
        <v>12</v>
      </c>
      <c r="G44" s="11">
        <v>3.93</v>
      </c>
      <c r="H44" s="11">
        <v>0</v>
      </c>
      <c r="I44" s="11">
        <f t="shared" si="1"/>
        <v>51049.599999999991</v>
      </c>
      <c r="J44" s="12">
        <v>57200001</v>
      </c>
    </row>
    <row r="45" spans="3:10" x14ac:dyDescent="0.3">
      <c r="C45" s="8"/>
      <c r="D45" s="9">
        <v>45726</v>
      </c>
      <c r="E45" t="s">
        <v>28</v>
      </c>
      <c r="F45" s="10" t="s">
        <v>12</v>
      </c>
      <c r="G45" s="11">
        <v>9.14</v>
      </c>
      <c r="H45" s="11">
        <v>0</v>
      </c>
      <c r="I45" s="11">
        <f t="shared" si="1"/>
        <v>51058.739999999991</v>
      </c>
      <c r="J45" s="12">
        <v>57200001</v>
      </c>
    </row>
    <row r="46" spans="3:10" x14ac:dyDescent="0.3">
      <c r="C46" s="8"/>
      <c r="D46" s="9">
        <v>45726</v>
      </c>
      <c r="E46" t="s">
        <v>27</v>
      </c>
      <c r="F46" s="10" t="s">
        <v>12</v>
      </c>
      <c r="G46" s="11">
        <v>15.2</v>
      </c>
      <c r="H46" s="11">
        <v>0</v>
      </c>
      <c r="I46" s="11">
        <f t="shared" si="1"/>
        <v>51073.939999999988</v>
      </c>
      <c r="J46" s="12">
        <v>57200001</v>
      </c>
    </row>
    <row r="47" spans="3:10" x14ac:dyDescent="0.3">
      <c r="C47" s="8"/>
      <c r="D47" s="9">
        <v>45726</v>
      </c>
      <c r="E47" t="s">
        <v>23</v>
      </c>
      <c r="F47" s="10" t="s">
        <v>12</v>
      </c>
      <c r="G47" s="11">
        <v>79</v>
      </c>
      <c r="H47" s="11">
        <v>0</v>
      </c>
      <c r="I47" s="11">
        <f t="shared" si="1"/>
        <v>51152.939999999988</v>
      </c>
      <c r="J47" s="12">
        <v>57200001</v>
      </c>
    </row>
    <row r="48" spans="3:10" x14ac:dyDescent="0.3">
      <c r="C48" s="8"/>
      <c r="D48" s="9">
        <v>45727</v>
      </c>
      <c r="E48" t="s">
        <v>11</v>
      </c>
      <c r="F48" s="10" t="s">
        <v>12</v>
      </c>
      <c r="G48" s="11">
        <v>67.709999999999994</v>
      </c>
      <c r="H48" s="11">
        <v>0</v>
      </c>
      <c r="I48" s="11">
        <f t="shared" si="1"/>
        <v>51220.649999999987</v>
      </c>
      <c r="J48" s="12">
        <v>57200001</v>
      </c>
    </row>
    <row r="49" spans="3:10" x14ac:dyDescent="0.3">
      <c r="C49" s="8"/>
      <c r="D49" s="9">
        <v>45733</v>
      </c>
      <c r="E49" t="s">
        <v>31</v>
      </c>
      <c r="F49" s="10" t="s">
        <v>12</v>
      </c>
      <c r="G49" s="11">
        <v>21.94</v>
      </c>
      <c r="H49" s="11">
        <v>0</v>
      </c>
      <c r="I49" s="11">
        <f t="shared" si="1"/>
        <v>51242.589999999989</v>
      </c>
      <c r="J49" s="12">
        <v>57200001</v>
      </c>
    </row>
    <row r="50" spans="3:10" x14ac:dyDescent="0.3">
      <c r="C50" s="8"/>
      <c r="D50" s="9">
        <v>45735</v>
      </c>
      <c r="E50" t="s">
        <v>11</v>
      </c>
      <c r="F50" s="10" t="s">
        <v>12</v>
      </c>
      <c r="G50" s="11">
        <v>17.989999999999998</v>
      </c>
      <c r="H50" s="11">
        <v>0</v>
      </c>
      <c r="I50" s="11">
        <f t="shared" si="1"/>
        <v>51260.579999999987</v>
      </c>
      <c r="J50" s="12">
        <v>57200001</v>
      </c>
    </row>
    <row r="51" spans="3:10" x14ac:dyDescent="0.3">
      <c r="C51" s="8"/>
      <c r="D51" s="9">
        <v>45740</v>
      </c>
      <c r="E51" t="s">
        <v>26</v>
      </c>
      <c r="F51" s="10" t="s">
        <v>12</v>
      </c>
      <c r="G51" s="11">
        <v>325.66000000000003</v>
      </c>
      <c r="H51" s="11">
        <v>0</v>
      </c>
      <c r="I51" s="11">
        <f t="shared" si="1"/>
        <v>51586.239999999991</v>
      </c>
      <c r="J51" s="12">
        <v>57200001</v>
      </c>
    </row>
    <row r="52" spans="3:10" x14ac:dyDescent="0.3">
      <c r="C52" s="8"/>
      <c r="D52" s="9">
        <v>45742</v>
      </c>
      <c r="E52" t="s">
        <v>32</v>
      </c>
      <c r="F52" s="10" t="s">
        <v>12</v>
      </c>
      <c r="G52" s="11">
        <v>116.25</v>
      </c>
      <c r="H52" s="11">
        <v>0</v>
      </c>
      <c r="I52" s="11">
        <f t="shared" si="1"/>
        <v>51702.489999999991</v>
      </c>
      <c r="J52" s="12">
        <v>57200001</v>
      </c>
    </row>
    <row r="53" spans="3:10" x14ac:dyDescent="0.3">
      <c r="C53" s="8"/>
      <c r="D53" s="9">
        <v>45747</v>
      </c>
      <c r="E53" t="s">
        <v>33</v>
      </c>
      <c r="F53" s="10" t="s">
        <v>12</v>
      </c>
      <c r="G53" s="11">
        <v>0</v>
      </c>
      <c r="H53" s="11">
        <v>250</v>
      </c>
      <c r="I53" s="11">
        <f t="shared" si="1"/>
        <v>51452.489999999991</v>
      </c>
      <c r="J53" s="12">
        <v>57200001</v>
      </c>
    </row>
    <row r="54" spans="3:10" x14ac:dyDescent="0.3">
      <c r="C54" s="8"/>
      <c r="D54" s="9">
        <v>45748</v>
      </c>
      <c r="E54" t="s">
        <v>11</v>
      </c>
      <c r="F54" s="10" t="s">
        <v>12</v>
      </c>
      <c r="G54" s="11">
        <v>19.989999999999998</v>
      </c>
      <c r="H54" s="11">
        <v>0</v>
      </c>
      <c r="I54" s="11">
        <f t="shared" si="1"/>
        <v>51472.479999999989</v>
      </c>
      <c r="J54" s="12">
        <v>57200001</v>
      </c>
    </row>
    <row r="55" spans="3:10" x14ac:dyDescent="0.3">
      <c r="C55" s="8"/>
      <c r="D55" s="9">
        <v>45755</v>
      </c>
      <c r="E55" t="s">
        <v>11</v>
      </c>
      <c r="F55" s="10" t="s">
        <v>12</v>
      </c>
      <c r="G55" s="11">
        <v>13</v>
      </c>
      <c r="H55" s="11">
        <v>0</v>
      </c>
      <c r="I55" s="11">
        <f t="shared" si="1"/>
        <v>51485.479999999989</v>
      </c>
      <c r="J55" s="12">
        <v>57200001</v>
      </c>
    </row>
    <row r="56" spans="3:10" x14ac:dyDescent="0.3">
      <c r="C56" s="8"/>
      <c r="D56" s="9">
        <v>45755</v>
      </c>
      <c r="E56" t="s">
        <v>13</v>
      </c>
      <c r="F56" s="10" t="s">
        <v>12</v>
      </c>
      <c r="G56" s="11">
        <v>372.39</v>
      </c>
      <c r="H56" s="11">
        <v>0</v>
      </c>
      <c r="I56" s="11">
        <f t="shared" si="1"/>
        <v>51857.869999999988</v>
      </c>
      <c r="J56" s="12">
        <v>57200001</v>
      </c>
    </row>
    <row r="57" spans="3:10" x14ac:dyDescent="0.3">
      <c r="C57" s="8"/>
      <c r="D57" s="9">
        <v>45764</v>
      </c>
      <c r="E57" t="s">
        <v>34</v>
      </c>
      <c r="F57" s="10" t="s">
        <v>12</v>
      </c>
      <c r="G57" s="11">
        <v>0</v>
      </c>
      <c r="H57" s="11">
        <v>4000</v>
      </c>
      <c r="I57" s="11">
        <f t="shared" si="1"/>
        <v>47857.869999999988</v>
      </c>
      <c r="J57" s="12">
        <v>57200001</v>
      </c>
    </row>
    <row r="58" spans="3:10" x14ac:dyDescent="0.3">
      <c r="C58" s="8"/>
      <c r="D58" s="9">
        <v>45768</v>
      </c>
      <c r="E58" t="s">
        <v>35</v>
      </c>
      <c r="F58" s="10" t="s">
        <v>12</v>
      </c>
      <c r="G58" s="11">
        <v>9.9499999999999993</v>
      </c>
      <c r="H58" s="11">
        <v>0</v>
      </c>
      <c r="I58" s="11">
        <f t="shared" si="1"/>
        <v>47867.819999999985</v>
      </c>
      <c r="J58" s="12">
        <v>57200001</v>
      </c>
    </row>
    <row r="59" spans="3:10" x14ac:dyDescent="0.3">
      <c r="C59" s="8"/>
      <c r="D59" s="9">
        <v>45768</v>
      </c>
      <c r="E59" t="s">
        <v>28</v>
      </c>
      <c r="F59" s="10" t="s">
        <v>12</v>
      </c>
      <c r="G59" s="11">
        <v>22.62</v>
      </c>
      <c r="H59" s="11">
        <v>0</v>
      </c>
      <c r="I59" s="11">
        <f t="shared" si="1"/>
        <v>47890.439999999988</v>
      </c>
      <c r="J59" s="12">
        <v>57200001</v>
      </c>
    </row>
    <row r="60" spans="3:10" x14ac:dyDescent="0.3">
      <c r="C60" s="8"/>
      <c r="D60" s="9">
        <v>45770</v>
      </c>
      <c r="E60" t="s">
        <v>11</v>
      </c>
      <c r="F60" s="10" t="s">
        <v>12</v>
      </c>
      <c r="G60" s="11">
        <v>17.989999999999998</v>
      </c>
      <c r="H60" s="11">
        <v>0</v>
      </c>
      <c r="I60" s="11">
        <f t="shared" si="1"/>
        <v>47908.429999999986</v>
      </c>
      <c r="J60" s="12">
        <v>57200001</v>
      </c>
    </row>
    <row r="61" spans="3:10" x14ac:dyDescent="0.3">
      <c r="C61" s="8"/>
      <c r="D61" s="9">
        <v>45775</v>
      </c>
      <c r="E61" t="s">
        <v>28</v>
      </c>
      <c r="F61" s="10" t="s">
        <v>12</v>
      </c>
      <c r="G61" s="11">
        <v>21.34</v>
      </c>
      <c r="H61" s="11">
        <v>0</v>
      </c>
      <c r="I61" s="11">
        <f t="shared" si="1"/>
        <v>47929.769999999982</v>
      </c>
      <c r="J61" s="12">
        <v>57200001</v>
      </c>
    </row>
    <row r="62" spans="3:10" x14ac:dyDescent="0.3">
      <c r="C62" s="8"/>
      <c r="D62" s="9">
        <v>45775</v>
      </c>
      <c r="E62" t="s">
        <v>28</v>
      </c>
      <c r="F62" s="10" t="s">
        <v>12</v>
      </c>
      <c r="G62" s="11">
        <v>7.41</v>
      </c>
      <c r="H62" s="11">
        <v>0</v>
      </c>
      <c r="I62" s="11">
        <f t="shared" si="1"/>
        <v>47937.179999999986</v>
      </c>
      <c r="J62" s="12">
        <v>57200001</v>
      </c>
    </row>
    <row r="63" spans="3:10" x14ac:dyDescent="0.3">
      <c r="C63" s="8"/>
      <c r="D63" s="9">
        <v>45775</v>
      </c>
      <c r="E63" t="s">
        <v>28</v>
      </c>
      <c r="F63" s="10" t="s">
        <v>12</v>
      </c>
      <c r="G63" s="11">
        <v>17.440000000000001</v>
      </c>
      <c r="H63" s="11">
        <v>0</v>
      </c>
      <c r="I63" s="11">
        <f t="shared" si="1"/>
        <v>47954.619999999988</v>
      </c>
      <c r="J63" s="12">
        <v>57200001</v>
      </c>
    </row>
    <row r="64" spans="3:10" x14ac:dyDescent="0.3">
      <c r="C64" s="8"/>
      <c r="D64" s="9">
        <v>45775</v>
      </c>
      <c r="E64" t="s">
        <v>28</v>
      </c>
      <c r="F64" s="10" t="s">
        <v>12</v>
      </c>
      <c r="G64" s="11">
        <v>18.79</v>
      </c>
      <c r="H64" s="11">
        <v>0</v>
      </c>
      <c r="I64" s="11">
        <f t="shared" si="1"/>
        <v>47973.409999999989</v>
      </c>
      <c r="J64" s="12">
        <v>57200001</v>
      </c>
    </row>
    <row r="65" spans="3:10" x14ac:dyDescent="0.3">
      <c r="C65" s="8"/>
      <c r="D65" s="9">
        <v>45775</v>
      </c>
      <c r="E65" t="s">
        <v>28</v>
      </c>
      <c r="F65" s="10" t="s">
        <v>12</v>
      </c>
      <c r="G65" s="11">
        <v>19.53</v>
      </c>
      <c r="H65" s="11">
        <v>0</v>
      </c>
      <c r="I65" s="11">
        <f t="shared" si="1"/>
        <v>47992.939999999988</v>
      </c>
      <c r="J65" s="12">
        <v>57200001</v>
      </c>
    </row>
    <row r="66" spans="3:10" x14ac:dyDescent="0.3">
      <c r="C66" s="8"/>
      <c r="D66" s="9">
        <v>45778</v>
      </c>
      <c r="E66" t="s">
        <v>11</v>
      </c>
      <c r="F66" s="10" t="s">
        <v>12</v>
      </c>
      <c r="G66" s="11">
        <v>2.99</v>
      </c>
      <c r="H66" s="11">
        <v>0</v>
      </c>
      <c r="I66" s="11">
        <f t="shared" si="1"/>
        <v>47995.929999999986</v>
      </c>
      <c r="J66" s="12">
        <v>57200001</v>
      </c>
    </row>
    <row r="67" spans="3:10" x14ac:dyDescent="0.3">
      <c r="C67" s="8"/>
      <c r="D67" s="9">
        <v>45778</v>
      </c>
      <c r="E67" t="s">
        <v>11</v>
      </c>
      <c r="F67" s="10" t="s">
        <v>12</v>
      </c>
      <c r="G67" s="11">
        <v>19.989999999999998</v>
      </c>
      <c r="H67" s="11">
        <v>0</v>
      </c>
      <c r="I67" s="11">
        <f t="shared" si="1"/>
        <v>48015.919999999984</v>
      </c>
      <c r="J67" s="12">
        <v>57200001</v>
      </c>
    </row>
    <row r="68" spans="3:10" x14ac:dyDescent="0.3">
      <c r="C68" s="8"/>
      <c r="D68" s="9">
        <v>45782</v>
      </c>
      <c r="E68" t="s">
        <v>36</v>
      </c>
      <c r="F68" s="10" t="s">
        <v>12</v>
      </c>
      <c r="G68" s="11">
        <v>17.02</v>
      </c>
      <c r="H68" s="11">
        <v>0</v>
      </c>
      <c r="I68" s="11">
        <f t="shared" si="1"/>
        <v>48032.939999999981</v>
      </c>
      <c r="J68" s="12">
        <v>57200001</v>
      </c>
    </row>
    <row r="69" spans="3:10" x14ac:dyDescent="0.3">
      <c r="C69" s="8"/>
      <c r="D69" s="9">
        <v>45782</v>
      </c>
      <c r="E69" t="s">
        <v>28</v>
      </c>
      <c r="F69" s="10" t="s">
        <v>12</v>
      </c>
      <c r="G69" s="11">
        <v>9.99</v>
      </c>
      <c r="H69" s="11">
        <v>0</v>
      </c>
      <c r="I69" s="11">
        <f t="shared" si="1"/>
        <v>48042.929999999978</v>
      </c>
      <c r="J69" s="12">
        <v>57200001</v>
      </c>
    </row>
    <row r="70" spans="3:10" x14ac:dyDescent="0.3">
      <c r="C70" s="8"/>
      <c r="D70" s="9">
        <v>45783</v>
      </c>
      <c r="E70" t="s">
        <v>13</v>
      </c>
      <c r="F70" s="10" t="s">
        <v>12</v>
      </c>
      <c r="G70" s="11">
        <v>372.39</v>
      </c>
      <c r="H70" s="11">
        <v>0</v>
      </c>
      <c r="I70" s="11">
        <f t="shared" si="1"/>
        <v>48415.319999999978</v>
      </c>
      <c r="J70" s="12">
        <v>57200001</v>
      </c>
    </row>
    <row r="71" spans="3:10" x14ac:dyDescent="0.3">
      <c r="C71" s="8"/>
      <c r="D71" s="9">
        <v>45789</v>
      </c>
      <c r="E71" t="s">
        <v>37</v>
      </c>
      <c r="F71" s="10" t="s">
        <v>12</v>
      </c>
      <c r="G71" s="11">
        <v>41.88</v>
      </c>
      <c r="H71" s="11">
        <v>0</v>
      </c>
      <c r="I71" s="11">
        <f t="shared" si="1"/>
        <v>48457.199999999975</v>
      </c>
      <c r="J71" s="12">
        <v>57200001</v>
      </c>
    </row>
    <row r="72" spans="3:10" x14ac:dyDescent="0.3">
      <c r="C72" s="8"/>
      <c r="D72" s="9">
        <v>45789</v>
      </c>
      <c r="E72" t="s">
        <v>38</v>
      </c>
      <c r="F72" s="10" t="s">
        <v>12</v>
      </c>
      <c r="G72" s="11">
        <v>98.97</v>
      </c>
      <c r="H72" s="11">
        <v>0</v>
      </c>
      <c r="I72" s="11">
        <f t="shared" si="1"/>
        <v>48556.169999999976</v>
      </c>
      <c r="J72" s="12">
        <v>57200001</v>
      </c>
    </row>
    <row r="73" spans="3:10" x14ac:dyDescent="0.3">
      <c r="C73" s="8"/>
      <c r="D73" s="9">
        <v>45797</v>
      </c>
      <c r="E73" t="s">
        <v>11</v>
      </c>
      <c r="F73" s="10" t="s">
        <v>12</v>
      </c>
      <c r="G73" s="11">
        <v>17.989999999999998</v>
      </c>
      <c r="H73" s="11">
        <v>0</v>
      </c>
      <c r="I73" s="11">
        <f t="shared" si="1"/>
        <v>48574.159999999974</v>
      </c>
      <c r="J73" s="12">
        <v>57200001</v>
      </c>
    </row>
    <row r="74" spans="3:10" x14ac:dyDescent="0.3">
      <c r="C74" s="8"/>
      <c r="D74" s="9">
        <v>45803</v>
      </c>
      <c r="E74" t="s">
        <v>39</v>
      </c>
      <c r="F74" s="10" t="s">
        <v>12</v>
      </c>
      <c r="G74" s="11">
        <v>54.29</v>
      </c>
      <c r="H74" s="11">
        <v>0</v>
      </c>
      <c r="I74" s="11">
        <f t="shared" si="1"/>
        <v>48628.449999999975</v>
      </c>
      <c r="J74" s="12">
        <v>57200001</v>
      </c>
    </row>
    <row r="75" spans="3:10" x14ac:dyDescent="0.3">
      <c r="C75" s="8"/>
      <c r="D75" s="9">
        <v>45803</v>
      </c>
      <c r="E75" t="s">
        <v>39</v>
      </c>
      <c r="F75" s="10" t="s">
        <v>12</v>
      </c>
      <c r="G75" s="11">
        <v>84.89</v>
      </c>
      <c r="H75" s="11">
        <v>0</v>
      </c>
      <c r="I75" s="11">
        <f t="shared" ref="I75:I106" si="2">G75-H75+I74</f>
        <v>48713.339999999975</v>
      </c>
      <c r="J75" s="12">
        <v>57200001</v>
      </c>
    </row>
    <row r="76" spans="3:10" x14ac:dyDescent="0.3">
      <c r="C76" s="8"/>
      <c r="D76" s="9">
        <v>45809</v>
      </c>
      <c r="E76" t="s">
        <v>11</v>
      </c>
      <c r="F76" s="10" t="s">
        <v>12</v>
      </c>
      <c r="G76" s="11">
        <v>19.989999999999998</v>
      </c>
      <c r="H76" s="11">
        <v>0</v>
      </c>
      <c r="I76" s="11">
        <f t="shared" si="2"/>
        <v>48733.329999999973</v>
      </c>
      <c r="J76" s="12">
        <v>57200001</v>
      </c>
    </row>
    <row r="77" spans="3:10" x14ac:dyDescent="0.3">
      <c r="C77" s="8"/>
      <c r="D77" s="9">
        <v>45809</v>
      </c>
      <c r="E77" t="s">
        <v>11</v>
      </c>
      <c r="F77" s="10" t="s">
        <v>12</v>
      </c>
      <c r="G77" s="11">
        <v>29.54</v>
      </c>
      <c r="H77" s="11">
        <v>0</v>
      </c>
      <c r="I77" s="11">
        <f t="shared" si="2"/>
        <v>48762.869999999974</v>
      </c>
      <c r="J77" s="12">
        <v>57200001</v>
      </c>
    </row>
    <row r="78" spans="3:10" x14ac:dyDescent="0.3">
      <c r="C78" s="8"/>
      <c r="D78" s="9">
        <v>45810</v>
      </c>
      <c r="E78" t="s">
        <v>28</v>
      </c>
      <c r="F78" s="10" t="s">
        <v>12</v>
      </c>
      <c r="G78" s="11">
        <v>9.99</v>
      </c>
      <c r="H78" s="11">
        <v>0</v>
      </c>
      <c r="I78" s="11">
        <f t="shared" si="2"/>
        <v>48772.859999999971</v>
      </c>
      <c r="J78" s="12">
        <v>57200001</v>
      </c>
    </row>
    <row r="79" spans="3:10" x14ac:dyDescent="0.3">
      <c r="C79" s="8"/>
      <c r="D79" s="9">
        <v>45810</v>
      </c>
      <c r="E79" t="s">
        <v>40</v>
      </c>
      <c r="F79" s="10" t="s">
        <v>12</v>
      </c>
      <c r="G79" s="11">
        <v>49.88</v>
      </c>
      <c r="H79" s="11">
        <v>0</v>
      </c>
      <c r="I79" s="11">
        <f t="shared" si="2"/>
        <v>48822.739999999969</v>
      </c>
      <c r="J79" s="12">
        <v>57200001</v>
      </c>
    </row>
    <row r="80" spans="3:10" x14ac:dyDescent="0.3">
      <c r="C80" s="8"/>
      <c r="D80" s="9">
        <v>45812</v>
      </c>
      <c r="E80" t="s">
        <v>36</v>
      </c>
      <c r="F80" s="10" t="s">
        <v>12</v>
      </c>
      <c r="G80" s="11">
        <v>31.78</v>
      </c>
      <c r="H80" s="11">
        <v>0</v>
      </c>
      <c r="I80" s="11">
        <f t="shared" si="2"/>
        <v>48854.519999999968</v>
      </c>
      <c r="J80" s="12">
        <v>57200001</v>
      </c>
    </row>
    <row r="81" spans="3:10" x14ac:dyDescent="0.3">
      <c r="C81" s="8"/>
      <c r="D81" s="9">
        <v>45814</v>
      </c>
      <c r="E81" t="s">
        <v>13</v>
      </c>
      <c r="F81" s="10" t="s">
        <v>12</v>
      </c>
      <c r="G81" s="11">
        <v>372.39</v>
      </c>
      <c r="H81" s="11">
        <v>0</v>
      </c>
      <c r="I81" s="11">
        <f t="shared" si="2"/>
        <v>49226.909999999967</v>
      </c>
      <c r="J81" s="12">
        <v>57200001</v>
      </c>
    </row>
    <row r="82" spans="3:10" x14ac:dyDescent="0.3">
      <c r="C82" s="8"/>
      <c r="D82" s="9">
        <v>45824</v>
      </c>
      <c r="E82" t="s">
        <v>39</v>
      </c>
      <c r="F82" s="10" t="s">
        <v>12</v>
      </c>
      <c r="G82" s="11">
        <v>139.22999999999999</v>
      </c>
      <c r="H82" s="11">
        <v>0</v>
      </c>
      <c r="I82" s="11">
        <f t="shared" si="2"/>
        <v>49366.13999999997</v>
      </c>
      <c r="J82" s="12">
        <v>57200001</v>
      </c>
    </row>
    <row r="83" spans="3:10" x14ac:dyDescent="0.3">
      <c r="C83" s="8"/>
      <c r="D83" s="9">
        <v>45827</v>
      </c>
      <c r="E83" t="s">
        <v>11</v>
      </c>
      <c r="F83" s="10" t="s">
        <v>12</v>
      </c>
      <c r="G83" s="11">
        <v>17.989999999999998</v>
      </c>
      <c r="H83" s="11">
        <v>0</v>
      </c>
      <c r="I83" s="11">
        <f t="shared" si="2"/>
        <v>49384.129999999968</v>
      </c>
      <c r="J83" s="12">
        <v>57200001</v>
      </c>
    </row>
    <row r="84" spans="3:10" x14ac:dyDescent="0.3">
      <c r="C84" s="8"/>
      <c r="D84" s="9">
        <v>45831</v>
      </c>
      <c r="E84" t="s">
        <v>11</v>
      </c>
      <c r="F84" s="10" t="s">
        <v>12</v>
      </c>
      <c r="G84" s="11">
        <v>34.950000000000003</v>
      </c>
      <c r="H84" s="11">
        <v>0</v>
      </c>
      <c r="I84" s="11">
        <f t="shared" si="2"/>
        <v>49419.079999999965</v>
      </c>
      <c r="J84" s="12">
        <v>57200001</v>
      </c>
    </row>
    <row r="85" spans="3:10" x14ac:dyDescent="0.3">
      <c r="C85" s="8"/>
      <c r="D85" s="9">
        <v>45831</v>
      </c>
      <c r="E85" t="s">
        <v>14</v>
      </c>
      <c r="F85" s="10" t="s">
        <v>12</v>
      </c>
      <c r="G85" s="11">
        <v>0</v>
      </c>
      <c r="H85" s="11">
        <v>112.78</v>
      </c>
      <c r="I85" s="11">
        <f t="shared" si="2"/>
        <v>49306.299999999967</v>
      </c>
      <c r="J85" s="12">
        <v>57200001</v>
      </c>
    </row>
    <row r="86" spans="3:10" x14ac:dyDescent="0.3">
      <c r="C86" s="8"/>
      <c r="D86" s="9">
        <v>45831</v>
      </c>
      <c r="E86" t="s">
        <v>14</v>
      </c>
      <c r="F86" s="10" t="s">
        <v>12</v>
      </c>
      <c r="G86" s="11">
        <v>0</v>
      </c>
      <c r="H86" s="11">
        <v>21.36</v>
      </c>
      <c r="I86" s="11">
        <f t="shared" si="2"/>
        <v>49284.939999999966</v>
      </c>
      <c r="J86" s="12">
        <v>57200001</v>
      </c>
    </row>
    <row r="87" spans="3:10" x14ac:dyDescent="0.3">
      <c r="C87" s="8"/>
      <c r="D87" s="9">
        <v>45831</v>
      </c>
      <c r="E87" t="s">
        <v>39</v>
      </c>
      <c r="F87" s="10" t="s">
        <v>12</v>
      </c>
      <c r="G87" s="11">
        <v>45.86</v>
      </c>
      <c r="H87" s="11">
        <v>0</v>
      </c>
      <c r="I87" s="11">
        <f t="shared" si="2"/>
        <v>49330.799999999967</v>
      </c>
      <c r="J87" s="12">
        <v>57200001</v>
      </c>
    </row>
    <row r="88" spans="3:10" x14ac:dyDescent="0.3">
      <c r="C88" s="8"/>
      <c r="D88" s="9">
        <v>45839</v>
      </c>
      <c r="E88" t="s">
        <v>11</v>
      </c>
      <c r="F88" s="10" t="s">
        <v>12</v>
      </c>
      <c r="G88" s="11">
        <v>19.989999999999998</v>
      </c>
      <c r="H88" s="11">
        <v>0</v>
      </c>
      <c r="I88" s="11">
        <f t="shared" si="2"/>
        <v>49350.789999999964</v>
      </c>
      <c r="J88" s="12">
        <v>57200001</v>
      </c>
    </row>
    <row r="89" spans="3:10" x14ac:dyDescent="0.3">
      <c r="C89" s="8"/>
      <c r="D89" s="9">
        <v>45841</v>
      </c>
      <c r="E89" t="s">
        <v>41</v>
      </c>
      <c r="F89" s="10" t="s">
        <v>12</v>
      </c>
      <c r="G89" s="11">
        <v>600</v>
      </c>
      <c r="H89" s="11">
        <v>0</v>
      </c>
      <c r="I89" s="11">
        <f t="shared" si="2"/>
        <v>49950.789999999964</v>
      </c>
      <c r="J89" s="12">
        <v>57200001</v>
      </c>
    </row>
    <row r="90" spans="3:10" x14ac:dyDescent="0.3">
      <c r="C90" s="8"/>
      <c r="D90" s="9">
        <v>45845</v>
      </c>
      <c r="E90" t="s">
        <v>36</v>
      </c>
      <c r="F90" s="10" t="s">
        <v>12</v>
      </c>
      <c r="G90" s="11">
        <v>20.85</v>
      </c>
      <c r="H90" s="11">
        <v>0</v>
      </c>
      <c r="I90" s="11">
        <f t="shared" si="2"/>
        <v>49971.639999999963</v>
      </c>
      <c r="J90" s="12">
        <v>57200001</v>
      </c>
    </row>
    <row r="91" spans="3:10" x14ac:dyDescent="0.3">
      <c r="C91" s="8"/>
      <c r="D91" s="9">
        <v>45845</v>
      </c>
      <c r="E91" t="s">
        <v>28</v>
      </c>
      <c r="F91" s="10" t="s">
        <v>12</v>
      </c>
      <c r="G91" s="11">
        <v>9.99</v>
      </c>
      <c r="H91" s="11">
        <v>0</v>
      </c>
      <c r="I91" s="11">
        <f t="shared" si="2"/>
        <v>49981.629999999961</v>
      </c>
      <c r="J91" s="12">
        <v>57200001</v>
      </c>
    </row>
    <row r="92" spans="3:10" x14ac:dyDescent="0.3">
      <c r="C92" s="8"/>
      <c r="D92" s="9">
        <v>45846</v>
      </c>
      <c r="E92" t="s">
        <v>13</v>
      </c>
      <c r="F92" s="10" t="s">
        <v>12</v>
      </c>
      <c r="G92" s="11">
        <v>372.39</v>
      </c>
      <c r="H92" s="11">
        <v>0</v>
      </c>
      <c r="I92" s="11">
        <f t="shared" si="2"/>
        <v>50354.01999999996</v>
      </c>
      <c r="J92" s="12">
        <v>57200001</v>
      </c>
    </row>
    <row r="93" spans="3:10" x14ac:dyDescent="0.3">
      <c r="C93" s="8"/>
      <c r="D93" s="9">
        <v>45849</v>
      </c>
      <c r="E93" t="s">
        <v>42</v>
      </c>
      <c r="F93" s="10" t="s">
        <v>12</v>
      </c>
      <c r="G93" s="11">
        <v>579.12</v>
      </c>
      <c r="H93" s="11">
        <v>0</v>
      </c>
      <c r="I93" s="11">
        <f t="shared" si="2"/>
        <v>50933.139999999963</v>
      </c>
      <c r="J93" s="12">
        <v>57200001</v>
      </c>
    </row>
    <row r="94" spans="3:10" x14ac:dyDescent="0.3">
      <c r="C94" s="8"/>
      <c r="D94" s="9">
        <v>45852</v>
      </c>
      <c r="E94" t="s">
        <v>34</v>
      </c>
      <c r="F94" s="10" t="s">
        <v>12</v>
      </c>
      <c r="G94" s="11">
        <v>0</v>
      </c>
      <c r="H94" s="11">
        <v>2730</v>
      </c>
      <c r="I94" s="11">
        <f t="shared" si="2"/>
        <v>48203.139999999963</v>
      </c>
      <c r="J94" s="12">
        <v>57200001</v>
      </c>
    </row>
    <row r="95" spans="3:10" x14ac:dyDescent="0.3">
      <c r="C95" s="8"/>
      <c r="D95" s="9">
        <v>45853</v>
      </c>
      <c r="E95" t="s">
        <v>11</v>
      </c>
      <c r="F95" s="10" t="s">
        <v>12</v>
      </c>
      <c r="G95" s="11">
        <v>10.99</v>
      </c>
      <c r="H95" s="11">
        <v>0</v>
      </c>
      <c r="I95" s="11">
        <f t="shared" si="2"/>
        <v>48214.129999999961</v>
      </c>
      <c r="J95" s="12">
        <v>57200001</v>
      </c>
    </row>
    <row r="96" spans="3:10" x14ac:dyDescent="0.3">
      <c r="C96" s="8"/>
      <c r="D96" s="9">
        <v>45855</v>
      </c>
      <c r="E96" t="s">
        <v>43</v>
      </c>
      <c r="F96" s="10" t="s">
        <v>12</v>
      </c>
      <c r="G96" s="11">
        <v>0</v>
      </c>
      <c r="H96" s="11">
        <v>300</v>
      </c>
      <c r="I96" s="11">
        <f t="shared" si="2"/>
        <v>47914.129999999961</v>
      </c>
      <c r="J96" s="12">
        <v>57200001</v>
      </c>
    </row>
    <row r="97" spans="3:10" x14ac:dyDescent="0.3">
      <c r="C97" s="8"/>
      <c r="D97" s="9">
        <v>45859</v>
      </c>
      <c r="E97" t="s">
        <v>11</v>
      </c>
      <c r="F97" s="10" t="s">
        <v>12</v>
      </c>
      <c r="G97" s="11">
        <v>17.989999999999998</v>
      </c>
      <c r="H97" s="11">
        <v>0</v>
      </c>
      <c r="I97" s="11">
        <f t="shared" si="2"/>
        <v>47932.119999999959</v>
      </c>
      <c r="J97" s="12">
        <v>57200001</v>
      </c>
    </row>
    <row r="98" spans="3:10" x14ac:dyDescent="0.3">
      <c r="C98" s="8"/>
      <c r="D98" s="9">
        <v>45860</v>
      </c>
      <c r="E98" t="s">
        <v>44</v>
      </c>
      <c r="F98" s="10" t="s">
        <v>12</v>
      </c>
      <c r="G98" s="11">
        <v>0</v>
      </c>
      <c r="H98" s="11">
        <v>528</v>
      </c>
      <c r="I98" s="11">
        <f t="shared" si="2"/>
        <v>47404.119999999959</v>
      </c>
      <c r="J98" s="12">
        <v>57200001</v>
      </c>
    </row>
    <row r="99" spans="3:10" x14ac:dyDescent="0.3">
      <c r="C99" s="8"/>
      <c r="D99" s="9">
        <v>45870</v>
      </c>
      <c r="E99" t="s">
        <v>11</v>
      </c>
      <c r="F99" s="10" t="s">
        <v>12</v>
      </c>
      <c r="G99" s="11">
        <v>19.989999999999998</v>
      </c>
      <c r="H99" s="11">
        <v>0</v>
      </c>
      <c r="I99" s="11">
        <f t="shared" si="2"/>
        <v>47424.109999999957</v>
      </c>
      <c r="J99" s="12">
        <v>57200001</v>
      </c>
    </row>
    <row r="100" spans="3:10" x14ac:dyDescent="0.3">
      <c r="C100" s="8"/>
      <c r="D100" s="9">
        <v>45873</v>
      </c>
      <c r="E100" t="s">
        <v>45</v>
      </c>
      <c r="F100" s="10" t="s">
        <v>12</v>
      </c>
      <c r="G100" s="11">
        <v>0</v>
      </c>
      <c r="H100" s="11">
        <v>39.99</v>
      </c>
      <c r="I100" s="11">
        <f t="shared" si="2"/>
        <v>47384.119999999959</v>
      </c>
      <c r="J100" s="12">
        <v>57200001</v>
      </c>
    </row>
    <row r="101" spans="3:10" x14ac:dyDescent="0.3">
      <c r="C101" s="8"/>
      <c r="D101" s="9">
        <v>45873</v>
      </c>
      <c r="E101" t="s">
        <v>45</v>
      </c>
      <c r="F101" s="10" t="s">
        <v>12</v>
      </c>
      <c r="G101" s="11">
        <v>0</v>
      </c>
      <c r="H101" s="11">
        <v>9.99</v>
      </c>
      <c r="I101" s="11">
        <f t="shared" si="2"/>
        <v>47374.129999999961</v>
      </c>
      <c r="J101" s="12">
        <v>57200001</v>
      </c>
    </row>
    <row r="102" spans="3:10" x14ac:dyDescent="0.3">
      <c r="C102" s="8"/>
      <c r="D102" s="9">
        <v>45873</v>
      </c>
      <c r="E102" t="s">
        <v>46</v>
      </c>
      <c r="F102" s="10" t="s">
        <v>12</v>
      </c>
      <c r="G102" s="11">
        <v>9.99</v>
      </c>
      <c r="H102" s="11">
        <v>0</v>
      </c>
      <c r="I102" s="11">
        <f t="shared" si="2"/>
        <v>47384.119999999959</v>
      </c>
      <c r="J102" s="12">
        <v>57200001</v>
      </c>
    </row>
    <row r="103" spans="3:10" x14ac:dyDescent="0.3">
      <c r="C103" s="8"/>
      <c r="D103" s="9">
        <v>45873</v>
      </c>
      <c r="E103" t="s">
        <v>46</v>
      </c>
      <c r="F103" s="10" t="s">
        <v>12</v>
      </c>
      <c r="G103" s="11">
        <v>23.14</v>
      </c>
      <c r="H103" s="11">
        <v>0</v>
      </c>
      <c r="I103" s="11">
        <f t="shared" si="2"/>
        <v>47407.259999999958</v>
      </c>
      <c r="J103" s="12">
        <v>57200001</v>
      </c>
    </row>
    <row r="104" spans="3:10" x14ac:dyDescent="0.3">
      <c r="C104" s="8"/>
      <c r="D104" s="9">
        <v>45873</v>
      </c>
      <c r="E104" t="s">
        <v>47</v>
      </c>
      <c r="F104" s="10" t="s">
        <v>12</v>
      </c>
      <c r="G104" s="11">
        <v>136.38999999999999</v>
      </c>
      <c r="H104" s="11">
        <v>0</v>
      </c>
      <c r="I104" s="11">
        <f t="shared" si="2"/>
        <v>47543.649999999958</v>
      </c>
      <c r="J104" s="12">
        <v>57200001</v>
      </c>
    </row>
    <row r="105" spans="3:10" x14ac:dyDescent="0.3">
      <c r="C105" s="8"/>
      <c r="D105" s="9">
        <v>45875</v>
      </c>
      <c r="E105" t="s">
        <v>36</v>
      </c>
      <c r="F105" s="10" t="s">
        <v>12</v>
      </c>
      <c r="G105" s="11">
        <v>104.31</v>
      </c>
      <c r="H105" s="11">
        <v>0</v>
      </c>
      <c r="I105" s="11">
        <f t="shared" si="2"/>
        <v>47647.959999999955</v>
      </c>
      <c r="J105" s="12">
        <v>57200001</v>
      </c>
    </row>
    <row r="106" spans="3:10" x14ac:dyDescent="0.3">
      <c r="C106" s="8"/>
      <c r="D106" s="9">
        <v>45875</v>
      </c>
      <c r="E106" t="s">
        <v>13</v>
      </c>
      <c r="F106" s="10" t="s">
        <v>12</v>
      </c>
      <c r="G106" s="11">
        <v>372.39</v>
      </c>
      <c r="H106" s="11">
        <v>0</v>
      </c>
      <c r="I106" s="11">
        <f t="shared" si="2"/>
        <v>48020.349999999955</v>
      </c>
      <c r="J106" s="12">
        <v>57200001</v>
      </c>
    </row>
    <row r="107" spans="3:10" x14ac:dyDescent="0.3">
      <c r="C107" s="8"/>
      <c r="D107" s="9">
        <v>45875</v>
      </c>
      <c r="E107" t="s">
        <v>34</v>
      </c>
      <c r="F107" s="10" t="s">
        <v>12</v>
      </c>
      <c r="G107" s="11">
        <v>0</v>
      </c>
      <c r="H107" s="11">
        <v>3000</v>
      </c>
      <c r="I107" s="11">
        <f t="shared" ref="I107:I138" si="3">G107-H107+I106</f>
        <v>45020.349999999955</v>
      </c>
      <c r="J107" s="12">
        <v>57200001</v>
      </c>
    </row>
    <row r="108" spans="3:10" x14ac:dyDescent="0.3">
      <c r="C108" s="8"/>
      <c r="D108" s="9">
        <v>45880</v>
      </c>
      <c r="E108" t="s">
        <v>48</v>
      </c>
      <c r="F108" s="10" t="s">
        <v>12</v>
      </c>
      <c r="G108" s="11">
        <v>158.69999999999999</v>
      </c>
      <c r="H108" s="11">
        <v>0</v>
      </c>
      <c r="I108" s="11">
        <f t="shared" si="3"/>
        <v>45179.049999999952</v>
      </c>
      <c r="J108" s="12">
        <v>57200001</v>
      </c>
    </row>
    <row r="109" spans="3:10" x14ac:dyDescent="0.3">
      <c r="C109" s="8"/>
      <c r="D109" s="9">
        <v>45887</v>
      </c>
      <c r="E109" t="s">
        <v>46</v>
      </c>
      <c r="F109" s="10" t="s">
        <v>12</v>
      </c>
      <c r="G109" s="11">
        <v>11.71</v>
      </c>
      <c r="H109" s="11">
        <v>0</v>
      </c>
      <c r="I109" s="11">
        <f t="shared" si="3"/>
        <v>45190.759999999951</v>
      </c>
      <c r="J109" s="12">
        <v>57200001</v>
      </c>
    </row>
    <row r="110" spans="3:10" x14ac:dyDescent="0.3">
      <c r="C110" s="8"/>
      <c r="D110" s="9">
        <v>45887</v>
      </c>
      <c r="E110" t="s">
        <v>46</v>
      </c>
      <c r="F110" s="10" t="s">
        <v>12</v>
      </c>
      <c r="G110" s="11">
        <v>12.33</v>
      </c>
      <c r="H110" s="11">
        <v>0</v>
      </c>
      <c r="I110" s="11">
        <f t="shared" si="3"/>
        <v>45203.089999999953</v>
      </c>
      <c r="J110" s="12">
        <v>57200001</v>
      </c>
    </row>
    <row r="111" spans="3:10" x14ac:dyDescent="0.3">
      <c r="C111" s="8"/>
      <c r="D111" s="9">
        <v>45888</v>
      </c>
      <c r="E111" t="s">
        <v>11</v>
      </c>
      <c r="F111" s="10" t="s">
        <v>12</v>
      </c>
      <c r="G111" s="11">
        <v>17.989999999999998</v>
      </c>
      <c r="H111" s="11">
        <v>0</v>
      </c>
      <c r="I111" s="11">
        <f t="shared" si="3"/>
        <v>45221.079999999951</v>
      </c>
      <c r="J111" s="12">
        <v>57200001</v>
      </c>
    </row>
    <row r="112" spans="3:10" x14ac:dyDescent="0.3">
      <c r="C112" s="8"/>
      <c r="D112" s="9">
        <v>45901</v>
      </c>
      <c r="E112" t="s">
        <v>11</v>
      </c>
      <c r="F112" s="10" t="s">
        <v>12</v>
      </c>
      <c r="G112" s="11">
        <v>19.989999999999998</v>
      </c>
      <c r="H112" s="11">
        <v>0</v>
      </c>
      <c r="I112" s="11">
        <f t="shared" si="3"/>
        <v>45241.069999999949</v>
      </c>
      <c r="J112" s="12">
        <v>57200001</v>
      </c>
    </row>
    <row r="113" spans="3:10" x14ac:dyDescent="0.3">
      <c r="C113" s="8"/>
      <c r="D113" s="9">
        <v>45904</v>
      </c>
      <c r="E113" t="s">
        <v>36</v>
      </c>
      <c r="F113" s="10" t="s">
        <v>12</v>
      </c>
      <c r="G113" s="11">
        <v>39.57</v>
      </c>
      <c r="H113" s="11">
        <v>0</v>
      </c>
      <c r="I113" s="11">
        <f t="shared" si="3"/>
        <v>45280.639999999948</v>
      </c>
      <c r="J113" s="12">
        <v>57200001</v>
      </c>
    </row>
    <row r="114" spans="3:10" x14ac:dyDescent="0.3">
      <c r="C114" s="8"/>
      <c r="D114" s="9">
        <v>45908</v>
      </c>
      <c r="E114" t="s">
        <v>13</v>
      </c>
      <c r="F114" s="10" t="s">
        <v>12</v>
      </c>
      <c r="G114" s="11">
        <v>372.39</v>
      </c>
      <c r="H114" s="11">
        <v>0</v>
      </c>
      <c r="I114" s="11">
        <f t="shared" si="3"/>
        <v>45653.029999999948</v>
      </c>
      <c r="J114" s="12">
        <v>57200001</v>
      </c>
    </row>
    <row r="115" spans="3:10" x14ac:dyDescent="0.3">
      <c r="C115" s="8"/>
      <c r="D115" s="9">
        <v>45910</v>
      </c>
      <c r="E115" t="s">
        <v>49</v>
      </c>
      <c r="F115" s="10" t="s">
        <v>12</v>
      </c>
      <c r="G115" s="11">
        <v>0</v>
      </c>
      <c r="H115" s="11">
        <v>745.25</v>
      </c>
      <c r="I115" s="11">
        <f t="shared" si="3"/>
        <v>44907.779999999948</v>
      </c>
      <c r="J115" s="12">
        <v>57200001</v>
      </c>
    </row>
    <row r="116" spans="3:10" x14ac:dyDescent="0.3">
      <c r="C116" s="8"/>
      <c r="D116" s="9">
        <v>45915</v>
      </c>
      <c r="E116" t="s">
        <v>15</v>
      </c>
      <c r="F116" s="10" t="s">
        <v>12</v>
      </c>
      <c r="G116" s="11">
        <v>49.9</v>
      </c>
      <c r="H116" s="11">
        <v>0</v>
      </c>
      <c r="I116" s="11">
        <f t="shared" si="3"/>
        <v>44957.679999999949</v>
      </c>
      <c r="J116" s="12">
        <v>57200001</v>
      </c>
    </row>
    <row r="117" spans="3:10" x14ac:dyDescent="0.3">
      <c r="C117" s="8"/>
      <c r="D117" s="9">
        <v>45919</v>
      </c>
      <c r="E117" t="s">
        <v>11</v>
      </c>
      <c r="F117" s="10" t="s">
        <v>12</v>
      </c>
      <c r="G117" s="11">
        <v>17.989999999999998</v>
      </c>
      <c r="H117" s="11">
        <v>0</v>
      </c>
      <c r="I117" s="11">
        <f t="shared" si="3"/>
        <v>44975.669999999947</v>
      </c>
      <c r="J117" s="12">
        <v>57200001</v>
      </c>
    </row>
    <row r="118" spans="3:10" x14ac:dyDescent="0.3">
      <c r="C118" s="8"/>
      <c r="D118" s="9">
        <v>45922</v>
      </c>
      <c r="E118" t="s">
        <v>15</v>
      </c>
      <c r="F118" s="10" t="s">
        <v>12</v>
      </c>
      <c r="G118" s="11">
        <v>41.98</v>
      </c>
      <c r="H118" s="11">
        <v>0</v>
      </c>
      <c r="I118" s="11">
        <f t="shared" si="3"/>
        <v>45017.649999999951</v>
      </c>
      <c r="J118" s="12">
        <v>57200001</v>
      </c>
    </row>
    <row r="119" spans="3:10" x14ac:dyDescent="0.3">
      <c r="C119" s="8"/>
      <c r="D119" s="9">
        <v>45929</v>
      </c>
      <c r="E119" t="s">
        <v>50</v>
      </c>
      <c r="F119" s="10" t="s">
        <v>12</v>
      </c>
      <c r="G119" s="11">
        <v>141.75</v>
      </c>
      <c r="H119" s="11">
        <v>0</v>
      </c>
      <c r="I119" s="11">
        <f t="shared" si="3"/>
        <v>45159.399999999951</v>
      </c>
      <c r="J119" s="12">
        <v>57200001</v>
      </c>
    </row>
    <row r="120" spans="3:10" x14ac:dyDescent="0.3">
      <c r="C120" s="8"/>
      <c r="D120" s="9">
        <v>45931</v>
      </c>
      <c r="E120" t="s">
        <v>11</v>
      </c>
      <c r="F120" s="10" t="s">
        <v>12</v>
      </c>
      <c r="G120" s="11">
        <v>19.989999999999998</v>
      </c>
      <c r="H120" s="11">
        <v>0</v>
      </c>
      <c r="I120" s="11">
        <f t="shared" si="3"/>
        <v>45179.389999999948</v>
      </c>
      <c r="J120" s="12">
        <v>57200001</v>
      </c>
    </row>
    <row r="121" spans="3:10" x14ac:dyDescent="0.3">
      <c r="C121" s="8"/>
      <c r="D121" s="9">
        <v>45936</v>
      </c>
      <c r="E121" t="s">
        <v>36</v>
      </c>
      <c r="F121" s="10" t="s">
        <v>12</v>
      </c>
      <c r="G121" s="11">
        <v>60</v>
      </c>
      <c r="H121" s="11">
        <v>0</v>
      </c>
      <c r="I121" s="11">
        <f t="shared" si="3"/>
        <v>45239.389999999948</v>
      </c>
      <c r="J121" s="12">
        <v>57200001</v>
      </c>
    </row>
    <row r="122" spans="3:10" x14ac:dyDescent="0.3">
      <c r="C122" s="8"/>
      <c r="D122" s="9">
        <v>45936</v>
      </c>
      <c r="E122" t="s">
        <v>46</v>
      </c>
      <c r="F122" s="10" t="s">
        <v>12</v>
      </c>
      <c r="G122" s="11">
        <v>9.99</v>
      </c>
      <c r="H122" s="11">
        <v>0</v>
      </c>
      <c r="I122" s="11">
        <f t="shared" si="3"/>
        <v>45249.379999999946</v>
      </c>
      <c r="J122" s="12">
        <v>57200001</v>
      </c>
    </row>
    <row r="123" spans="3:10" x14ac:dyDescent="0.3">
      <c r="C123" s="8"/>
      <c r="D123" s="9">
        <v>45936</v>
      </c>
      <c r="E123" t="s">
        <v>46</v>
      </c>
      <c r="F123" s="10" t="s">
        <v>12</v>
      </c>
      <c r="G123" s="11">
        <v>17.809999999999999</v>
      </c>
      <c r="H123" s="11">
        <v>0</v>
      </c>
      <c r="I123" s="11">
        <f t="shared" si="3"/>
        <v>45267.189999999944</v>
      </c>
      <c r="J123" s="12">
        <v>57200001</v>
      </c>
    </row>
    <row r="124" spans="3:10" x14ac:dyDescent="0.3">
      <c r="C124" s="8"/>
      <c r="D124" s="9">
        <v>45936</v>
      </c>
      <c r="E124" t="s">
        <v>46</v>
      </c>
      <c r="F124" s="10" t="s">
        <v>12</v>
      </c>
      <c r="G124" s="11">
        <v>21.95</v>
      </c>
      <c r="H124" s="11">
        <v>0</v>
      </c>
      <c r="I124" s="11">
        <f t="shared" si="3"/>
        <v>45289.139999999941</v>
      </c>
      <c r="J124" s="12">
        <v>57200001</v>
      </c>
    </row>
    <row r="125" spans="3:10" x14ac:dyDescent="0.3">
      <c r="C125" s="8"/>
      <c r="D125" s="9">
        <v>45936</v>
      </c>
      <c r="E125" t="s">
        <v>46</v>
      </c>
      <c r="F125" s="10" t="s">
        <v>12</v>
      </c>
      <c r="G125" s="11">
        <v>27.25</v>
      </c>
      <c r="H125" s="11">
        <v>0</v>
      </c>
      <c r="I125" s="11">
        <f t="shared" si="3"/>
        <v>45316.389999999941</v>
      </c>
      <c r="J125" s="12">
        <v>57200001</v>
      </c>
    </row>
    <row r="126" spans="3:10" x14ac:dyDescent="0.3">
      <c r="C126" s="8"/>
      <c r="D126" s="9">
        <v>45937</v>
      </c>
      <c r="E126" t="s">
        <v>13</v>
      </c>
      <c r="F126" s="10" t="s">
        <v>12</v>
      </c>
      <c r="G126" s="11">
        <v>372.39</v>
      </c>
      <c r="H126" s="11">
        <v>0</v>
      </c>
      <c r="I126" s="11">
        <f t="shared" si="3"/>
        <v>45688.779999999941</v>
      </c>
      <c r="J126" s="12">
        <v>57200001</v>
      </c>
    </row>
    <row r="127" spans="3:10" x14ac:dyDescent="0.3">
      <c r="C127" s="8"/>
      <c r="D127" s="9">
        <v>45943</v>
      </c>
      <c r="E127" t="s">
        <v>15</v>
      </c>
      <c r="F127" s="10" t="s">
        <v>12</v>
      </c>
      <c r="G127" s="11">
        <v>13.49</v>
      </c>
      <c r="H127" s="11">
        <v>0</v>
      </c>
      <c r="I127" s="11">
        <f t="shared" si="3"/>
        <v>45702.269999999939</v>
      </c>
      <c r="J127" s="12">
        <v>57200001</v>
      </c>
    </row>
    <row r="128" spans="3:10" x14ac:dyDescent="0.3">
      <c r="C128" s="8"/>
      <c r="D128" s="9">
        <v>45943</v>
      </c>
      <c r="E128" t="s">
        <v>15</v>
      </c>
      <c r="F128" s="10" t="s">
        <v>12</v>
      </c>
      <c r="G128" s="11">
        <v>57.98</v>
      </c>
      <c r="H128" s="11">
        <v>0</v>
      </c>
      <c r="I128" s="11">
        <f t="shared" si="3"/>
        <v>45760.249999999942</v>
      </c>
      <c r="J128" s="12">
        <v>57200001</v>
      </c>
    </row>
    <row r="129" spans="3:10" x14ac:dyDescent="0.3">
      <c r="C129" s="8"/>
      <c r="D129" s="9">
        <v>45950</v>
      </c>
      <c r="E129" t="s">
        <v>51</v>
      </c>
      <c r="F129" s="10" t="s">
        <v>12</v>
      </c>
      <c r="G129" s="11">
        <v>4.3499999999999996</v>
      </c>
      <c r="H129" s="11">
        <v>0</v>
      </c>
      <c r="I129" s="11">
        <f t="shared" si="3"/>
        <v>45764.59999999994</v>
      </c>
      <c r="J129" s="12">
        <v>57200001</v>
      </c>
    </row>
    <row r="130" spans="3:10" x14ac:dyDescent="0.3">
      <c r="C130" s="8"/>
      <c r="D130" s="9">
        <v>45950</v>
      </c>
      <c r="E130" t="s">
        <v>52</v>
      </c>
      <c r="F130" s="10" t="s">
        <v>12</v>
      </c>
      <c r="G130" s="11">
        <v>35.9</v>
      </c>
      <c r="H130" s="11">
        <v>0</v>
      </c>
      <c r="I130" s="11">
        <f t="shared" si="3"/>
        <v>45800.499999999942</v>
      </c>
      <c r="J130" s="12">
        <v>57200001</v>
      </c>
    </row>
    <row r="131" spans="3:10" x14ac:dyDescent="0.3">
      <c r="C131" s="8"/>
      <c r="D131" s="9">
        <v>45951</v>
      </c>
      <c r="E131" t="s">
        <v>11</v>
      </c>
      <c r="F131" s="10" t="s">
        <v>12</v>
      </c>
      <c r="G131" s="11">
        <v>17.989999999999998</v>
      </c>
      <c r="H131" s="11">
        <v>0</v>
      </c>
      <c r="I131" s="11">
        <f t="shared" si="3"/>
        <v>45818.48999999994</v>
      </c>
      <c r="J131" s="12">
        <v>57200001</v>
      </c>
    </row>
    <row r="132" spans="3:10" x14ac:dyDescent="0.3">
      <c r="C132" s="8"/>
      <c r="D132" s="9">
        <v>45957</v>
      </c>
      <c r="E132" t="s">
        <v>15</v>
      </c>
      <c r="F132" s="10" t="s">
        <v>12</v>
      </c>
      <c r="G132" s="11">
        <v>5.79</v>
      </c>
      <c r="H132" s="11">
        <v>0</v>
      </c>
      <c r="I132" s="11">
        <f t="shared" si="3"/>
        <v>45824.279999999941</v>
      </c>
      <c r="J132" s="12">
        <v>57200001</v>
      </c>
    </row>
    <row r="133" spans="3:10" x14ac:dyDescent="0.3">
      <c r="C133" s="8"/>
      <c r="D133" s="9">
        <v>45960</v>
      </c>
      <c r="E133" t="s">
        <v>53</v>
      </c>
      <c r="F133" s="10" t="s">
        <v>12</v>
      </c>
      <c r="G133" s="11">
        <v>19.989999999999998</v>
      </c>
      <c r="H133" s="11">
        <v>0</v>
      </c>
      <c r="I133" s="11">
        <f t="shared" si="3"/>
        <v>45844.269999999939</v>
      </c>
      <c r="J133" s="12">
        <v>57200001</v>
      </c>
    </row>
    <row r="134" spans="3:10" x14ac:dyDescent="0.3">
      <c r="C134" s="8"/>
      <c r="D134" s="9">
        <v>45964</v>
      </c>
      <c r="E134" t="s">
        <v>54</v>
      </c>
      <c r="F134" s="10" t="s">
        <v>12</v>
      </c>
      <c r="G134" s="11">
        <v>0.2</v>
      </c>
      <c r="H134" s="11">
        <v>0</v>
      </c>
      <c r="I134" s="11">
        <f t="shared" si="3"/>
        <v>45844.469999999936</v>
      </c>
      <c r="J134" s="12">
        <v>57200001</v>
      </c>
    </row>
    <row r="135" spans="3:10" x14ac:dyDescent="0.3">
      <c r="C135" s="8"/>
      <c r="D135" s="9">
        <v>45964</v>
      </c>
      <c r="E135" t="s">
        <v>55</v>
      </c>
      <c r="F135" s="10" t="s">
        <v>12</v>
      </c>
      <c r="G135" s="11">
        <v>9.99</v>
      </c>
      <c r="H135" s="11">
        <v>0</v>
      </c>
      <c r="I135" s="11">
        <f t="shared" si="3"/>
        <v>45854.459999999934</v>
      </c>
      <c r="J135" s="12">
        <v>57200001</v>
      </c>
    </row>
    <row r="136" spans="3:10" x14ac:dyDescent="0.3">
      <c r="C136" s="8"/>
      <c r="D136" s="9">
        <v>45966</v>
      </c>
      <c r="E136" t="s">
        <v>56</v>
      </c>
      <c r="F136" s="10" t="s">
        <v>12</v>
      </c>
      <c r="G136" s="11">
        <v>69.42</v>
      </c>
      <c r="H136" s="11">
        <v>0</v>
      </c>
      <c r="I136" s="11">
        <f t="shared" si="3"/>
        <v>45923.879999999932</v>
      </c>
      <c r="J136" s="12">
        <v>57200001</v>
      </c>
    </row>
    <row r="137" spans="3:10" x14ac:dyDescent="0.3">
      <c r="C137" s="8"/>
      <c r="D137" s="9">
        <v>45967</v>
      </c>
      <c r="E137" t="s">
        <v>57</v>
      </c>
      <c r="F137" s="10" t="s">
        <v>12</v>
      </c>
      <c r="G137" s="11">
        <v>372.39</v>
      </c>
      <c r="H137" s="11">
        <v>0</v>
      </c>
      <c r="I137" s="11">
        <f t="shared" si="3"/>
        <v>46296.269999999931</v>
      </c>
      <c r="J137" s="12">
        <v>57200001</v>
      </c>
    </row>
    <row r="138" spans="3:10" x14ac:dyDescent="0.3">
      <c r="C138" s="8"/>
      <c r="D138" s="9">
        <v>45971</v>
      </c>
      <c r="E138" t="s">
        <v>58</v>
      </c>
      <c r="F138" s="10" t="s">
        <v>12</v>
      </c>
      <c r="G138" s="11">
        <v>45.18</v>
      </c>
      <c r="H138" s="11">
        <v>0</v>
      </c>
      <c r="I138" s="11">
        <f t="shared" si="3"/>
        <v>46341.449999999932</v>
      </c>
      <c r="J138" s="12">
        <v>57200001</v>
      </c>
    </row>
    <row r="139" spans="3:10" x14ac:dyDescent="0.3">
      <c r="C139" s="8"/>
      <c r="D139" s="9">
        <v>45971</v>
      </c>
      <c r="E139" t="s">
        <v>59</v>
      </c>
      <c r="F139" s="10" t="s">
        <v>12</v>
      </c>
      <c r="G139" s="11">
        <v>2.95</v>
      </c>
      <c r="H139" s="11">
        <v>0</v>
      </c>
      <c r="I139" s="11">
        <f t="shared" ref="I139:I170" si="4">G139-H139+I138</f>
        <v>46344.399999999929</v>
      </c>
      <c r="J139" s="12">
        <v>57200001</v>
      </c>
    </row>
    <row r="140" spans="3:10" x14ac:dyDescent="0.3">
      <c r="C140" s="8"/>
      <c r="D140" s="9">
        <v>45980</v>
      </c>
      <c r="E140" t="s">
        <v>60</v>
      </c>
      <c r="F140" s="10" t="s">
        <v>12</v>
      </c>
      <c r="G140" s="11">
        <v>26.99</v>
      </c>
      <c r="H140" s="11">
        <v>0</v>
      </c>
      <c r="I140" s="11">
        <f t="shared" si="4"/>
        <v>46371.389999999927</v>
      </c>
      <c r="J140" s="12">
        <v>57200001</v>
      </c>
    </row>
    <row r="141" spans="3:10" x14ac:dyDescent="0.3">
      <c r="C141" s="8"/>
      <c r="D141" s="9">
        <v>45992</v>
      </c>
      <c r="E141" t="s">
        <v>61</v>
      </c>
      <c r="F141" s="10" t="s">
        <v>12</v>
      </c>
      <c r="G141" s="11">
        <v>12.15</v>
      </c>
      <c r="H141" s="11">
        <v>0</v>
      </c>
      <c r="I141" s="11">
        <f t="shared" si="4"/>
        <v>46383.539999999928</v>
      </c>
      <c r="J141" s="12">
        <v>57200001</v>
      </c>
    </row>
    <row r="142" spans="3:10" x14ac:dyDescent="0.3">
      <c r="C142" s="8"/>
      <c r="D142" s="9">
        <v>45992</v>
      </c>
      <c r="E142" t="s">
        <v>55</v>
      </c>
      <c r="F142" s="10" t="s">
        <v>12</v>
      </c>
      <c r="G142" s="11">
        <v>9.99</v>
      </c>
      <c r="H142" s="11">
        <v>0</v>
      </c>
      <c r="I142" s="11">
        <f t="shared" si="4"/>
        <v>46393.529999999926</v>
      </c>
      <c r="J142" s="12">
        <v>57200001</v>
      </c>
    </row>
    <row r="143" spans="3:10" x14ac:dyDescent="0.3">
      <c r="C143" s="8"/>
      <c r="D143" s="9">
        <v>45993</v>
      </c>
      <c r="E143" t="s">
        <v>60</v>
      </c>
      <c r="F143" s="10" t="s">
        <v>12</v>
      </c>
      <c r="G143" s="11">
        <v>19.989999999999998</v>
      </c>
      <c r="H143" s="11">
        <v>0</v>
      </c>
      <c r="I143" s="11">
        <f t="shared" si="4"/>
        <v>46413.519999999924</v>
      </c>
      <c r="J143" s="12">
        <v>57200001</v>
      </c>
    </row>
    <row r="144" spans="3:10" x14ac:dyDescent="0.3">
      <c r="C144" s="8"/>
      <c r="D144" s="9">
        <v>45996</v>
      </c>
      <c r="E144" t="s">
        <v>56</v>
      </c>
      <c r="F144" s="10" t="s">
        <v>12</v>
      </c>
      <c r="G144" s="11">
        <v>56.25</v>
      </c>
      <c r="H144" s="11">
        <v>0</v>
      </c>
      <c r="I144" s="11">
        <f t="shared" si="4"/>
        <v>46469.769999999924</v>
      </c>
      <c r="J144" s="12">
        <v>57200001</v>
      </c>
    </row>
    <row r="145" spans="3:10" x14ac:dyDescent="0.3">
      <c r="C145" s="8"/>
      <c r="D145" s="9">
        <v>45999</v>
      </c>
      <c r="E145" t="s">
        <v>59</v>
      </c>
      <c r="F145" s="10" t="s">
        <v>12</v>
      </c>
      <c r="G145" s="11">
        <v>6.28</v>
      </c>
      <c r="H145" s="11">
        <v>0</v>
      </c>
      <c r="I145" s="11">
        <f t="shared" si="4"/>
        <v>46476.049999999923</v>
      </c>
      <c r="J145" s="12">
        <v>57200001</v>
      </c>
    </row>
    <row r="146" spans="3:10" x14ac:dyDescent="0.3">
      <c r="C146" s="8"/>
      <c r="D146" s="9">
        <v>45999</v>
      </c>
      <c r="E146" t="s">
        <v>57</v>
      </c>
      <c r="F146" s="10" t="s">
        <v>12</v>
      </c>
      <c r="G146" s="11">
        <v>372.39</v>
      </c>
      <c r="H146" s="11">
        <v>0</v>
      </c>
      <c r="I146" s="11">
        <f t="shared" si="4"/>
        <v>46848.439999999922</v>
      </c>
      <c r="J146" s="12">
        <v>57200001</v>
      </c>
    </row>
    <row r="147" spans="3:10" x14ac:dyDescent="0.3">
      <c r="C147" s="8"/>
      <c r="D147" s="9">
        <v>45999</v>
      </c>
      <c r="E147" t="s">
        <v>61</v>
      </c>
      <c r="F147" s="10" t="s">
        <v>12</v>
      </c>
      <c r="G147" s="11">
        <v>89.47</v>
      </c>
      <c r="H147" s="11">
        <v>0</v>
      </c>
      <c r="I147" s="11">
        <f t="shared" si="4"/>
        <v>46937.909999999923</v>
      </c>
      <c r="J147" s="12">
        <v>57200001</v>
      </c>
    </row>
    <row r="148" spans="3:10" x14ac:dyDescent="0.3">
      <c r="C148" s="8"/>
      <c r="D148" s="9">
        <v>46006</v>
      </c>
      <c r="E148" t="s">
        <v>62</v>
      </c>
      <c r="F148" s="10" t="s">
        <v>12</v>
      </c>
      <c r="G148" s="11">
        <v>347.33</v>
      </c>
      <c r="H148" s="11">
        <v>0</v>
      </c>
      <c r="I148" s="11">
        <f t="shared" si="4"/>
        <v>47285.239999999925</v>
      </c>
      <c r="J148" s="12">
        <v>57200001</v>
      </c>
    </row>
    <row r="149" spans="3:10" x14ac:dyDescent="0.3">
      <c r="C149" s="8"/>
      <c r="D149" s="9">
        <v>46006</v>
      </c>
      <c r="E149" t="s">
        <v>63</v>
      </c>
      <c r="F149" s="10" t="s">
        <v>12</v>
      </c>
      <c r="G149" s="11">
        <v>42</v>
      </c>
      <c r="H149" s="11">
        <v>0</v>
      </c>
      <c r="I149" s="11">
        <f t="shared" si="4"/>
        <v>47327.239999999925</v>
      </c>
      <c r="J149" s="12">
        <v>57200001</v>
      </c>
    </row>
    <row r="150" spans="3:10" x14ac:dyDescent="0.3">
      <c r="C150" s="8"/>
      <c r="D150" s="9">
        <v>46006</v>
      </c>
      <c r="E150" t="s">
        <v>64</v>
      </c>
      <c r="F150" s="10" t="s">
        <v>12</v>
      </c>
      <c r="G150" s="11">
        <v>35</v>
      </c>
      <c r="H150" s="11">
        <v>0</v>
      </c>
      <c r="I150" s="11">
        <f t="shared" si="4"/>
        <v>47362.239999999925</v>
      </c>
      <c r="J150" s="12">
        <v>57200001</v>
      </c>
    </row>
    <row r="151" spans="3:10" x14ac:dyDescent="0.3">
      <c r="C151" s="8"/>
      <c r="D151" s="9">
        <v>46010</v>
      </c>
      <c r="E151" t="s">
        <v>60</v>
      </c>
      <c r="F151" s="10" t="s">
        <v>12</v>
      </c>
      <c r="G151" s="11">
        <v>26.99</v>
      </c>
      <c r="H151" s="11">
        <v>0</v>
      </c>
      <c r="I151" s="11">
        <f t="shared" si="4"/>
        <v>47389.229999999923</v>
      </c>
      <c r="J151" s="12">
        <v>57200001</v>
      </c>
    </row>
    <row r="152" spans="3:10" x14ac:dyDescent="0.3">
      <c r="C152" s="8"/>
      <c r="D152" s="9">
        <v>46013</v>
      </c>
      <c r="E152" t="s">
        <v>65</v>
      </c>
      <c r="F152" s="10" t="s">
        <v>12</v>
      </c>
      <c r="G152" s="11">
        <v>35.99</v>
      </c>
      <c r="H152" s="11">
        <v>0</v>
      </c>
      <c r="I152" s="11">
        <f t="shared" si="4"/>
        <v>47425.219999999921</v>
      </c>
      <c r="J152" s="12">
        <v>57200001</v>
      </c>
    </row>
    <row r="153" spans="3:10" x14ac:dyDescent="0.3">
      <c r="C153" s="8"/>
      <c r="D153" s="9">
        <v>46013</v>
      </c>
      <c r="E153" t="s">
        <v>66</v>
      </c>
      <c r="F153" s="10" t="s">
        <v>12</v>
      </c>
      <c r="G153" s="11">
        <v>35</v>
      </c>
      <c r="H153" s="11">
        <v>0</v>
      </c>
      <c r="I153" s="11">
        <f t="shared" si="4"/>
        <v>47460.219999999921</v>
      </c>
      <c r="J153" s="12">
        <v>57200001</v>
      </c>
    </row>
    <row r="154" spans="3:10" x14ac:dyDescent="0.3">
      <c r="C154" s="8"/>
      <c r="D154" s="9">
        <v>46013</v>
      </c>
      <c r="E154" t="s">
        <v>67</v>
      </c>
      <c r="F154" s="10" t="s">
        <v>12</v>
      </c>
      <c r="G154" s="11">
        <v>110.85</v>
      </c>
      <c r="H154" s="11">
        <v>0</v>
      </c>
      <c r="I154" s="11">
        <f t="shared" si="4"/>
        <v>47571.06999999992</v>
      </c>
      <c r="J154" s="12">
        <v>57200001</v>
      </c>
    </row>
    <row r="155" spans="3:10" x14ac:dyDescent="0.3">
      <c r="C155" s="8"/>
      <c r="D155" s="9">
        <v>46013</v>
      </c>
      <c r="E155" t="s">
        <v>68</v>
      </c>
      <c r="F155" s="10" t="s">
        <v>12</v>
      </c>
      <c r="G155" s="11">
        <v>8.64</v>
      </c>
      <c r="H155" s="11">
        <v>0</v>
      </c>
      <c r="I155" s="11">
        <f t="shared" si="4"/>
        <v>47579.709999999919</v>
      </c>
      <c r="J155" s="12">
        <v>57200001</v>
      </c>
    </row>
    <row r="156" spans="3:10" x14ac:dyDescent="0.3">
      <c r="C156" s="8"/>
      <c r="D156" s="9">
        <v>46020</v>
      </c>
      <c r="E156" t="s">
        <v>69</v>
      </c>
      <c r="F156" s="10" t="s">
        <v>12</v>
      </c>
      <c r="G156" s="11">
        <v>185.75</v>
      </c>
      <c r="H156" s="11">
        <v>0</v>
      </c>
      <c r="I156" s="11">
        <f t="shared" si="4"/>
        <v>47765.459999999919</v>
      </c>
      <c r="J156" s="12">
        <v>57200001</v>
      </c>
    </row>
    <row r="157" spans="3:10" x14ac:dyDescent="0.3">
      <c r="C157" s="8"/>
      <c r="D157" s="9">
        <v>46020</v>
      </c>
      <c r="E157" t="s">
        <v>70</v>
      </c>
      <c r="F157" s="10" t="s">
        <v>12</v>
      </c>
      <c r="G157" s="11">
        <v>36.08</v>
      </c>
      <c r="H157" s="11">
        <v>0</v>
      </c>
      <c r="I157" s="11">
        <f t="shared" si="4"/>
        <v>47801.539999999921</v>
      </c>
      <c r="J157" s="12">
        <v>57200001</v>
      </c>
    </row>
    <row r="158" spans="3:10" x14ac:dyDescent="0.3">
      <c r="C158" s="8"/>
      <c r="D158" s="9">
        <v>46020</v>
      </c>
      <c r="E158" t="s">
        <v>71</v>
      </c>
      <c r="F158" s="10" t="s">
        <v>12</v>
      </c>
      <c r="G158" s="11">
        <v>299</v>
      </c>
      <c r="H158" s="11">
        <v>0</v>
      </c>
      <c r="I158" s="11">
        <f t="shared" si="4"/>
        <v>48100.539999999921</v>
      </c>
      <c r="J158" s="12">
        <v>57200001</v>
      </c>
    </row>
    <row r="159" spans="3:10" x14ac:dyDescent="0.3">
      <c r="C159" s="8"/>
      <c r="D159" s="9">
        <v>46020</v>
      </c>
      <c r="E159" t="s">
        <v>72</v>
      </c>
      <c r="F159" s="10" t="s">
        <v>12</v>
      </c>
      <c r="G159" s="11">
        <v>18</v>
      </c>
      <c r="H159" s="11">
        <v>0</v>
      </c>
      <c r="I159" s="11">
        <f t="shared" si="4"/>
        <v>48118.539999999921</v>
      </c>
      <c r="J159" s="12">
        <v>57200001</v>
      </c>
    </row>
    <row r="160" spans="3:10" x14ac:dyDescent="0.3">
      <c r="C160" s="8"/>
      <c r="D160" s="9">
        <v>46020</v>
      </c>
      <c r="E160" t="s">
        <v>72</v>
      </c>
      <c r="F160" s="10" t="s">
        <v>12</v>
      </c>
      <c r="G160" s="11">
        <v>122.8</v>
      </c>
      <c r="H160" s="11">
        <v>0</v>
      </c>
      <c r="I160" s="11">
        <f t="shared" si="4"/>
        <v>48241.339999999924</v>
      </c>
      <c r="J160" s="12">
        <v>57200001</v>
      </c>
    </row>
    <row r="161" spans="3:10" x14ac:dyDescent="0.3">
      <c r="C161" s="8"/>
      <c r="D161" s="9">
        <v>46021</v>
      </c>
      <c r="E161" t="s">
        <v>60</v>
      </c>
      <c r="F161" s="10" t="s">
        <v>12</v>
      </c>
      <c r="G161" s="11">
        <v>19.989999999999998</v>
      </c>
      <c r="H161" s="11">
        <v>0</v>
      </c>
      <c r="I161" s="11">
        <f t="shared" si="4"/>
        <v>48261.329999999922</v>
      </c>
      <c r="J161" s="12">
        <v>57200001</v>
      </c>
    </row>
    <row r="162" spans="3:10" x14ac:dyDescent="0.3">
      <c r="E162" s="4" t="s">
        <v>73</v>
      </c>
      <c r="G162" s="11">
        <f>SUM(G10:G161)</f>
        <v>60999.279999999919</v>
      </c>
      <c r="H162" s="11">
        <f>SUM(H10:H161)</f>
        <v>12737.949999999999</v>
      </c>
      <c r="I162" s="11">
        <f>G162-H162</f>
        <v>48261.329999999922</v>
      </c>
    </row>
  </sheetData>
  <pageMargins left="0.75" right="0.75" top="1" bottom="1" header="0.5" footer="0.5"/>
  <pageSetup paperSize="9" fitToHeight="1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Cuentas corrientes</vt:lpstr>
      <vt:lpstr>'Cuentas corrientes'!Área_de_impresión</vt:lpstr>
      <vt:lpstr>'Cuentas corrientes'!Títulos_a_imprimir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</dc:creator>
  <cp:keywords/>
  <dc:description/>
  <cp:lastModifiedBy>Office</cp:lastModifiedBy>
  <dcterms:created xsi:type="dcterms:W3CDTF">2026-03-04T12:22:55Z</dcterms:created>
  <dcterms:modified xsi:type="dcterms:W3CDTF">2026-03-04T12:22:55Z</dcterms:modified>
  <cp:category/>
</cp:coreProperties>
</file>